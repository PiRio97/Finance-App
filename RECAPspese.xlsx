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iazzil\Desktop\Gestione_Finanze\"/>
    </mc:Choice>
  </mc:AlternateContent>
  <xr:revisionPtr revIDLastSave="0" documentId="13_ncr:1_{95AFFA2E-9763-4ADE-BA85-80255158CB1C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RECAP" sheetId="1" r:id="rId1"/>
    <sheet name="SPESE" sheetId="2" r:id="rId2"/>
    <sheet name="ENTRATE" sheetId="3" r:id="rId3"/>
    <sheet name="Log_Dat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3" i="4" l="1"/>
  <c r="E217" i="4"/>
  <c r="E215" i="4"/>
  <c r="E205" i="4"/>
  <c r="E204" i="4"/>
  <c r="E203" i="4"/>
  <c r="E196" i="4"/>
  <c r="E191" i="4"/>
  <c r="E155" i="4"/>
  <c r="H53" i="3"/>
  <c r="G53" i="3"/>
  <c r="F53" i="3"/>
  <c r="E53" i="3"/>
  <c r="D53" i="3"/>
  <c r="C53" i="3"/>
  <c r="I52" i="3"/>
  <c r="I51" i="3"/>
  <c r="I50" i="3"/>
  <c r="I49" i="3"/>
  <c r="I48" i="3"/>
  <c r="I47" i="3"/>
  <c r="I46" i="3"/>
  <c r="I45" i="3"/>
  <c r="I44" i="3"/>
  <c r="I43" i="3"/>
  <c r="I42" i="3"/>
  <c r="I41" i="3"/>
  <c r="I53" i="3" s="1"/>
  <c r="H40" i="3"/>
  <c r="G40" i="3"/>
  <c r="F40" i="3"/>
  <c r="E40" i="3"/>
  <c r="D40" i="3"/>
  <c r="C39" i="3"/>
  <c r="I39" i="3" s="1"/>
  <c r="I38" i="3"/>
  <c r="C38" i="3"/>
  <c r="I37" i="3"/>
  <c r="C37" i="3"/>
  <c r="I36" i="3"/>
  <c r="C36" i="3"/>
  <c r="I35" i="3"/>
  <c r="I34" i="3"/>
  <c r="C33" i="3"/>
  <c r="I33" i="3" s="1"/>
  <c r="I32" i="3"/>
  <c r="I31" i="3"/>
  <c r="C31" i="3"/>
  <c r="C40" i="3" s="1"/>
  <c r="I30" i="3"/>
  <c r="I29" i="3"/>
  <c r="I28" i="3"/>
  <c r="H27" i="3"/>
  <c r="G27" i="3"/>
  <c r="F27" i="3"/>
  <c r="E27" i="3"/>
  <c r="D27" i="3"/>
  <c r="C26" i="3"/>
  <c r="I26" i="3" s="1"/>
  <c r="C25" i="3"/>
  <c r="C27" i="3" s="1"/>
  <c r="I24" i="3"/>
  <c r="I23" i="3"/>
  <c r="I22" i="3"/>
  <c r="I21" i="3"/>
  <c r="I20" i="3"/>
  <c r="I19" i="3"/>
  <c r="I18" i="3"/>
  <c r="I17" i="3"/>
  <c r="I16" i="3"/>
  <c r="I15" i="3"/>
  <c r="H14" i="3"/>
  <c r="G14" i="3"/>
  <c r="F14" i="3"/>
  <c r="E14" i="3"/>
  <c r="D14" i="3"/>
  <c r="C14" i="3"/>
  <c r="I13" i="3"/>
  <c r="I12" i="3"/>
  <c r="I11" i="3"/>
  <c r="I10" i="3"/>
  <c r="I9" i="3"/>
  <c r="I8" i="3"/>
  <c r="I7" i="3"/>
  <c r="I6" i="3"/>
  <c r="I5" i="3"/>
  <c r="I14" i="3" s="1"/>
  <c r="I4" i="3"/>
  <c r="I3" i="3"/>
  <c r="J2" i="3"/>
  <c r="J3" i="3" s="1"/>
  <c r="J4" i="3" s="1"/>
  <c r="J5" i="3" s="1"/>
  <c r="J6" i="3" s="1"/>
  <c r="J7" i="3" s="1"/>
  <c r="J8" i="3" s="1"/>
  <c r="J9" i="3" s="1"/>
  <c r="J10" i="3" s="1"/>
  <c r="J11" i="3" s="1"/>
  <c r="J12" i="3" s="1"/>
  <c r="J13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I2" i="3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AA53" i="2" s="1"/>
  <c r="AA52" i="2"/>
  <c r="AA51" i="2"/>
  <c r="AA50" i="2"/>
  <c r="AA49" i="2"/>
  <c r="AA48" i="2"/>
  <c r="AA47" i="2"/>
  <c r="AA46" i="2"/>
  <c r="AA45" i="2"/>
  <c r="AA44" i="2"/>
  <c r="AA43" i="2"/>
  <c r="AA42" i="2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AA41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A27" i="2" s="1"/>
  <c r="D27" i="2"/>
  <c r="C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A14" i="2" s="1"/>
  <c r="AA13" i="2"/>
  <c r="AA12" i="2"/>
  <c r="AA11" i="2"/>
  <c r="AA10" i="2"/>
  <c r="AA9" i="2"/>
  <c r="AA8" i="2"/>
  <c r="AA7" i="2"/>
  <c r="AA6" i="2"/>
  <c r="AA5" i="2"/>
  <c r="AA4" i="2"/>
  <c r="AA3" i="2"/>
  <c r="AA2" i="2"/>
  <c r="E9" i="1"/>
  <c r="E8" i="1"/>
  <c r="E7" i="1"/>
  <c r="E6" i="1"/>
  <c r="E5" i="1"/>
  <c r="E4" i="1"/>
  <c r="E3" i="1"/>
  <c r="E2" i="1"/>
  <c r="I40" i="3" l="1"/>
  <c r="I25" i="3"/>
  <c r="I27" i="3" s="1"/>
  <c r="J25" i="3" l="1"/>
  <c r="J26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</calcChain>
</file>

<file path=xl/sharedStrings.xml><?xml version="1.0" encoding="utf-8"?>
<sst xmlns="http://schemas.openxmlformats.org/spreadsheetml/2006/main" count="875" uniqueCount="239">
  <si>
    <t>ANNO</t>
  </si>
  <si>
    <t>MESE</t>
  </si>
  <si>
    <t>USCITE</t>
  </si>
  <si>
    <t>ENTRATE</t>
  </si>
  <si>
    <t>RISPARMIATI</t>
  </si>
  <si>
    <t>INVESTITI</t>
  </si>
  <si>
    <t>IMPREVISTI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</si>
  <si>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</si>
  <si>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</si>
  <si>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</si>
  <si>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</si>
  <si>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</si>
  <si>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</si>
  <si>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</si>
  <si>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</si>
  <si>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gennaio</t>
  </si>
  <si>
    <t>febbraio</t>
  </si>
  <si>
    <t>marzo</t>
  </si>
  <si>
    <t>aprile</t>
  </si>
  <si>
    <t>maggio</t>
  </si>
  <si>
    <t>giugno</t>
  </si>
  <si>
    <t>BAR</t>
  </si>
  <si>
    <t>REGAZ</t>
  </si>
  <si>
    <t>ELISA</t>
  </si>
  <si>
    <t>LAVORO</t>
  </si>
  <si>
    <t>ABBIGLIAMENTO</t>
  </si>
  <si>
    <t>VIAGGI</t>
  </si>
  <si>
    <t>GITE</t>
  </si>
  <si>
    <t>SPORT</t>
  </si>
  <si>
    <t>AUTO</t>
  </si>
  <si>
    <t>BENZINA</t>
  </si>
  <si>
    <t>FORMAZIONE</t>
  </si>
  <si>
    <t>CHIAVE</t>
  </si>
  <si>
    <t>CURA</t>
  </si>
  <si>
    <t>SALUTE</t>
  </si>
  <si>
    <t>REGALI</t>
  </si>
  <si>
    <t>CASA</t>
  </si>
  <si>
    <t>AFFITTO</t>
  </si>
  <si>
    <t>ABBONAMENTI</t>
  </si>
  <si>
    <t>CONTO DEPOSIT</t>
  </si>
  <si>
    <t>OBBLIGAZIONI</t>
  </si>
  <si>
    <t>AZIONARIO</t>
  </si>
  <si>
    <t>ALTRO</t>
  </si>
  <si>
    <t>DEBITO</t>
  </si>
  <si>
    <t>TOTALE</t>
  </si>
  <si>
    <t>Totale anno</t>
  </si>
  <si>
    <t>STIPENDIO</t>
  </si>
  <si>
    <t>RIPETIZIONI</t>
  </si>
  <si>
    <t>CEDOLE</t>
  </si>
  <si>
    <t>VENDITA</t>
  </si>
  <si>
    <t>RIMBORSI</t>
  </si>
  <si>
    <t>SALDO</t>
  </si>
  <si>
    <t>CATEGORIA</t>
  </si>
  <si>
    <t>NOME</t>
  </si>
  <si>
    <t>IMPORTO</t>
  </si>
  <si>
    <t>Gennaio</t>
  </si>
  <si>
    <t>CENA</t>
  </si>
  <si>
    <t>ACG</t>
  </si>
  <si>
    <t>ARGENTINA</t>
  </si>
  <si>
    <t>PANTALONI</t>
  </si>
  <si>
    <t>STONE ISLAND</t>
  </si>
  <si>
    <t>MAGLIONE</t>
  </si>
  <si>
    <t>SCARPE</t>
  </si>
  <si>
    <t>CAPPOTTO</t>
  </si>
  <si>
    <t>SCI</t>
  </si>
  <si>
    <t>PINGUINI</t>
  </si>
  <si>
    <t>PANTALONI SCI</t>
  </si>
  <si>
    <t>TORCIA</t>
  </si>
  <si>
    <t>ASSICURAZIONE</t>
  </si>
  <si>
    <t>VOLO GIAPPONE</t>
  </si>
  <si>
    <t>CIASPOLE</t>
  </si>
  <si>
    <t>AUTOSTRADA</t>
  </si>
  <si>
    <t>PESI</t>
  </si>
  <si>
    <t>PARAURTI</t>
  </si>
  <si>
    <t>RUSS</t>
  </si>
  <si>
    <t>LEGO</t>
  </si>
  <si>
    <t>APE</t>
  </si>
  <si>
    <t>FOODSPRING</t>
  </si>
  <si>
    <t>SPAL</t>
  </si>
  <si>
    <t>CALZET</t>
  </si>
  <si>
    <t>CUFFIE</t>
  </si>
  <si>
    <t>PATEK</t>
  </si>
  <si>
    <t>maglia</t>
  </si>
  <si>
    <t>costme nike</t>
  </si>
  <si>
    <t>felpa nike</t>
  </si>
  <si>
    <t>pantaloni tomm</t>
  </si>
  <si>
    <t>scarpe nike</t>
  </si>
  <si>
    <t>camicia tommy</t>
  </si>
  <si>
    <t>Pranzo mare</t>
  </si>
  <si>
    <t>libro aperto</t>
  </si>
  <si>
    <t>ape</t>
  </si>
  <si>
    <t>BIRRA</t>
  </si>
  <si>
    <t>CALCETTO</t>
  </si>
  <si>
    <t>MESSA</t>
  </si>
  <si>
    <t>PASQUETTA</t>
  </si>
  <si>
    <t>TORNEO</t>
  </si>
  <si>
    <t>MC</t>
  </si>
  <si>
    <t>ricarica</t>
  </si>
  <si>
    <t>CENA CTP</t>
  </si>
  <si>
    <t>BIRKENSTOK</t>
  </si>
  <si>
    <t>Nike ACG</t>
  </si>
  <si>
    <t>pizza</t>
  </si>
  <si>
    <t>altro</t>
  </si>
  <si>
    <t>la riserva</t>
  </si>
  <si>
    <t>moonswatch</t>
  </si>
  <si>
    <t>festa</t>
  </si>
  <si>
    <t>elba casa</t>
  </si>
  <si>
    <t>traghetto</t>
  </si>
  <si>
    <t>elba</t>
  </si>
  <si>
    <t>volo madeira</t>
  </si>
  <si>
    <t>benza</t>
  </si>
  <si>
    <t>dorigoni</t>
  </si>
  <si>
    <t>autostrada</t>
  </si>
  <si>
    <t>park</t>
  </si>
  <si>
    <t>ore</t>
  </si>
  <si>
    <t>pantaloni P&amp;B</t>
  </si>
  <si>
    <t>pantaloni H&amp;M</t>
  </si>
  <si>
    <t>camicia</t>
  </si>
  <si>
    <t>occhiali</t>
  </si>
  <si>
    <t>scarpe calcio</t>
  </si>
  <si>
    <t>vestito</t>
  </si>
  <si>
    <t>primark</t>
  </si>
  <si>
    <t>dunk</t>
  </si>
  <si>
    <t>pizza calcio</t>
  </si>
  <si>
    <t>pesi</t>
  </si>
  <si>
    <t>spal</t>
  </si>
  <si>
    <t>atl</t>
  </si>
  <si>
    <t>calcetto</t>
  </si>
  <si>
    <t>multa</t>
  </si>
  <si>
    <t>ctp</t>
  </si>
  <si>
    <t>mc</t>
  </si>
  <si>
    <t>maglia real</t>
  </si>
  <si>
    <t>trusox</t>
  </si>
  <si>
    <t>cinturino</t>
  </si>
  <si>
    <t>madeira</t>
  </si>
  <si>
    <t>coop</t>
  </si>
  <si>
    <t>ctp parma</t>
  </si>
  <si>
    <t>foodspring</t>
  </si>
  <si>
    <t>comple papa</t>
  </si>
  <si>
    <t>panda</t>
  </si>
  <si>
    <t>panda2</t>
  </si>
  <si>
    <t>sped</t>
  </si>
  <si>
    <t>scarpe calc</t>
  </si>
  <si>
    <t>casa montagna</t>
  </si>
  <si>
    <t>salam</t>
  </si>
  <si>
    <t>bar</t>
  </si>
  <si>
    <t>spesa</t>
  </si>
  <si>
    <t>nolo</t>
  </si>
  <si>
    <t>skipass</t>
  </si>
  <si>
    <t>rifugio</t>
  </si>
  <si>
    <t>lidl</t>
  </si>
  <si>
    <t>auto</t>
  </si>
  <si>
    <t>cena ing</t>
  </si>
  <si>
    <t>puzzone</t>
  </si>
  <si>
    <t>CORTEZ</t>
  </si>
  <si>
    <t>VOLO LONDRA</t>
  </si>
  <si>
    <t>bernina</t>
  </si>
  <si>
    <t>prnzo skt moritz</t>
  </si>
  <si>
    <t>torta</t>
  </si>
  <si>
    <t>profumo</t>
  </si>
  <si>
    <t>londra</t>
  </si>
  <si>
    <t>garni</t>
  </si>
  <si>
    <t>PND</t>
  </si>
  <si>
    <t>vietnam</t>
  </si>
  <si>
    <t>cena atl</t>
  </si>
  <si>
    <t>sci</t>
  </si>
  <si>
    <t xml:space="preserve">carità </t>
  </si>
  <si>
    <t>cena squadra</t>
  </si>
  <si>
    <t>caparra</t>
  </si>
  <si>
    <t>celibato enri</t>
  </si>
  <si>
    <t>lav car</t>
  </si>
  <si>
    <t>tagliaunghie</t>
  </si>
  <si>
    <t>tavolo atletico</t>
  </si>
  <si>
    <t>fabbro</t>
  </si>
  <si>
    <t>viva azzurri</t>
  </si>
  <si>
    <t>cssbuy</t>
  </si>
  <si>
    <t>ischia</t>
  </si>
  <si>
    <t>grigliata</t>
  </si>
  <si>
    <t>comple leo</t>
  </si>
  <si>
    <t>sd</t>
  </si>
  <si>
    <t>Napoli ischia</t>
  </si>
  <si>
    <t>Avvocato</t>
  </si>
  <si>
    <t>puglia</t>
  </si>
  <si>
    <t>nike</t>
  </si>
  <si>
    <t xml:space="preserve">ass. medica </t>
  </si>
  <si>
    <t>coprizaino</t>
  </si>
  <si>
    <t>maglione polo</t>
  </si>
  <si>
    <t>air max 1</t>
  </si>
  <si>
    <t>mutande ck</t>
  </si>
  <si>
    <t>pesi 10kg</t>
  </si>
  <si>
    <t>zermatt</t>
  </si>
  <si>
    <t>bacaro tour</t>
  </si>
  <si>
    <t>jordan rm</t>
  </si>
  <si>
    <t>Capodanno</t>
  </si>
  <si>
    <t>Egitto</t>
  </si>
  <si>
    <t>Montagna</t>
  </si>
  <si>
    <t>valigia samsonite</t>
  </si>
  <si>
    <t>lavanderia</t>
  </si>
  <si>
    <t>scarpe</t>
  </si>
  <si>
    <t>hotel zermat</t>
  </si>
  <si>
    <t>Cervinia tutto</t>
  </si>
  <si>
    <t>barca volo</t>
  </si>
  <si>
    <t>corvara</t>
  </si>
  <si>
    <t>camicia polo</t>
  </si>
  <si>
    <t>SB</t>
  </si>
  <si>
    <t xml:space="preserve">Barcellona </t>
  </si>
  <si>
    <t>Nike</t>
  </si>
  <si>
    <t>Spal</t>
  </si>
  <si>
    <t>rack+bila</t>
  </si>
  <si>
    <t>Traghetto</t>
  </si>
  <si>
    <t>Casa Barca</t>
  </si>
  <si>
    <t>BARCA</t>
  </si>
  <si>
    <t>trail running shoes+zaino</t>
  </si>
  <si>
    <t>volo</t>
  </si>
  <si>
    <t>casa Manarola</t>
  </si>
  <si>
    <t>h&amp;m</t>
  </si>
  <si>
    <t>casa sardegna</t>
  </si>
  <si>
    <t>barca</t>
  </si>
  <si>
    <t>pranzo rifugio x2</t>
  </si>
  <si>
    <t>hotel fiames</t>
  </si>
  <si>
    <t>cena</t>
  </si>
  <si>
    <t>pranzi</t>
  </si>
  <si>
    <t>Festa</t>
  </si>
  <si>
    <t>Cena</t>
  </si>
  <si>
    <t>colaz friederich + parking</t>
  </si>
  <si>
    <t>benza e autostrada</t>
  </si>
  <si>
    <t>scarpe corsa</t>
  </si>
  <si>
    <t>scarpe trekking</t>
  </si>
  <si>
    <t>completo</t>
  </si>
  <si>
    <t>nepal</t>
  </si>
  <si>
    <t>predator</t>
  </si>
  <si>
    <t>t90</t>
  </si>
  <si>
    <t>ovs</t>
  </si>
  <si>
    <t>autostrada sci</t>
  </si>
  <si>
    <t>GRAZ</t>
  </si>
  <si>
    <t>montagna</t>
  </si>
  <si>
    <t>maribor</t>
  </si>
  <si>
    <t>corinthians</t>
  </si>
  <si>
    <t>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</si>
</sst>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.00&quot;€&quot;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Arial"/>
    </font>
    <font>
      <sz val="11"/>
      <color rgb="FF222222"/>
      <name val="Arial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AEABAB"/>
        <bgColor rgb="FFAEABAB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0" fontId="2" fillId="4" borderId="1" xfId="0" applyFont="1" applyFill="1" applyBorder="1" applyAlignment="1"/>
    <xf numFmtId="0" fontId="2" fillId="5" borderId="1" xfId="0" applyFont="1" applyFill="1" applyBorder="1" applyAlignment="1"/>
    <xf numFmtId="0" fontId="2" fillId="6" borderId="1" xfId="0" applyFont="1" applyFill="1" applyBorder="1" applyAlignment="1"/>
    <xf numFmtId="0" fontId="3" fillId="0" borderId="0" xfId="0" applyFont="1" applyAlignment="1"/>
    <xf numFmtId="164" fontId="4" fillId="0" borderId="0" xfId="0" applyNumberFormat="1" applyFont="1" applyAlignment="1">
      <alignment horizontal="right"/>
    </xf>
    <xf numFmtId="164" fontId="3" fillId="0" borderId="0" xfId="0" applyNumberFormat="1" applyFont="1"/>
    <xf numFmtId="165" fontId="3" fillId="0" borderId="0" xfId="0" applyNumberFormat="1" applyFont="1" applyAlignment="1"/>
    <xf numFmtId="0" fontId="2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164" fontId="4" fillId="0" borderId="0" xfId="0" applyNumberFormat="1" applyFont="1" applyAlignment="1">
      <alignment horizontal="right"/>
    </xf>
    <xf numFmtId="164" fontId="6" fillId="0" borderId="0" xfId="0" applyNumberFormat="1" applyFont="1" applyAlignment="1"/>
    <xf numFmtId="164" fontId="6" fillId="0" borderId="0" xfId="0" applyNumberFormat="1" applyFont="1" applyAlignment="1"/>
    <xf numFmtId="164" fontId="6" fillId="0" borderId="0" xfId="0" applyNumberFormat="1" applyFont="1" applyAlignment="1">
      <alignment horizontal="right"/>
    </xf>
    <xf numFmtId="164" fontId="7" fillId="7" borderId="0" xfId="0" applyNumberFormat="1" applyFont="1" applyFill="1" applyAlignment="1">
      <alignment horizontal="right"/>
    </xf>
    <xf numFmtId="0" fontId="4" fillId="0" borderId="2" xfId="0" applyFont="1" applyBorder="1" applyAlignment="1"/>
    <xf numFmtId="0" fontId="6" fillId="0" borderId="0" xfId="0" applyFont="1" applyAlignment="1"/>
    <xf numFmtId="0" fontId="6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1"/>
  <sheetViews>
    <sheetView workbookViewId="0"/>
  </sheetViews>
  <sheetFormatPr defaultColWidth="12.6328125" defaultRowHeight="15.75" customHeight="1" x14ac:dyDescent="0.25"/>
  <cols>
    <col min="1" max="1" width="5.90625" customWidth="1"/>
    <col min="2" max="2" width="8.36328125" customWidth="1"/>
    <col min="3" max="4" width="8.90625" customWidth="1"/>
    <col min="5" max="5" width="10.90625" customWidth="1"/>
    <col min="6" max="6" width="8.90625" customWidth="1"/>
    <col min="7" max="7" width="9.7265625" customWidth="1"/>
  </cols>
  <sheetData>
    <row r="1" spans="1:7" ht="15.75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 ht="15.75" customHeight="1" x14ac:dyDescent="0.35">
      <c r="A2" s="7">
        <v>2022</v>
      </c>
      <c r="B2" s="7" t="s">
        <v>7</v>
      </c>
      <c r="C2" s="8">
        <v>530</v>
      </c>
      <c r="D2" s="8">
        <v>905</v>
      </c>
      <c r="E2" s="8">
        <f t="shared" ref="E2:E9" si="0">D2-C2-G2</f>
        <v>375</v>
      </c>
      <c r="F2" s="8">
        <v>0</v>
      </c>
      <c r="G2" s="8">
        <v>0</v>
      </c>
    </row>
    <row r="3" spans="1:7" ht="15.75" customHeight="1" x14ac:dyDescent="0.35">
      <c r="A3" s="7">
        <v>2022</v>
      </c>
      <c r="B3" s="7" t="s">
        <v>8</v>
      </c>
      <c r="C3" s="8">
        <v>512</v>
      </c>
      <c r="D3" s="8">
        <v>957.67</v>
      </c>
      <c r="E3" s="8">
        <f t="shared" si="0"/>
        <v>445.66999999999996</v>
      </c>
      <c r="F3" s="8">
        <v>0</v>
      </c>
      <c r="G3" s="8">
        <v>0</v>
      </c>
    </row>
    <row r="4" spans="1:7" ht="15.75" customHeight="1" x14ac:dyDescent="0.35">
      <c r="A4" s="7">
        <v>2022</v>
      </c>
      <c r="B4" s="7" t="s">
        <v>9</v>
      </c>
      <c r="C4" s="8">
        <v>551.67999999999995</v>
      </c>
      <c r="D4" s="8">
        <v>1034.48</v>
      </c>
      <c r="E4" s="8">
        <f t="shared" si="0"/>
        <v>482.80000000000007</v>
      </c>
      <c r="F4" s="8">
        <v>0</v>
      </c>
      <c r="G4" s="8">
        <v>0</v>
      </c>
    </row>
    <row r="5" spans="1:7" ht="15.75" customHeight="1" x14ac:dyDescent="0.35">
      <c r="A5" s="7">
        <v>2022</v>
      </c>
      <c r="B5" s="7" t="s">
        <v>10</v>
      </c>
      <c r="C5" s="8">
        <v>1754.45</v>
      </c>
      <c r="D5" s="8">
        <v>1399.42</v>
      </c>
      <c r="E5" s="8">
        <f t="shared" si="0"/>
        <v>-723.23</v>
      </c>
      <c r="F5" s="8">
        <v>0</v>
      </c>
      <c r="G5" s="8">
        <v>368.2</v>
      </c>
    </row>
    <row r="6" spans="1:7" ht="15.75" customHeight="1" x14ac:dyDescent="0.35">
      <c r="A6" s="7">
        <v>2022</v>
      </c>
      <c r="B6" s="7" t="s">
        <v>11</v>
      </c>
      <c r="C6" s="8">
        <v>656.94</v>
      </c>
      <c r="D6" s="8">
        <v>1735.5</v>
      </c>
      <c r="E6" s="8">
        <f t="shared" si="0"/>
        <v>-1048.44</v>
      </c>
      <c r="F6" s="8">
        <v>0</v>
      </c>
      <c r="G6" s="8">
        <v>2127</v>
      </c>
    </row>
    <row r="7" spans="1:7" ht="15.75" customHeight="1" x14ac:dyDescent="0.35">
      <c r="A7" s="7">
        <v>2022</v>
      </c>
      <c r="B7" s="7" t="s">
        <v>12</v>
      </c>
      <c r="C7" s="8">
        <v>771</v>
      </c>
      <c r="D7" s="8">
        <v>1960</v>
      </c>
      <c r="E7" s="8">
        <f t="shared" si="0"/>
        <v>1189</v>
      </c>
      <c r="F7" s="8">
        <v>0</v>
      </c>
      <c r="G7" s="8">
        <v>0</v>
      </c>
    </row>
    <row r="8" spans="1:7" ht="15.75" customHeight="1" x14ac:dyDescent="0.35">
      <c r="A8" s="7">
        <v>2022</v>
      </c>
      <c r="B8" s="7" t="s">
        <v>13</v>
      </c>
      <c r="C8" s="8">
        <v>1162.28</v>
      </c>
      <c r="D8" s="8">
        <v>1577</v>
      </c>
      <c r="E8" s="8">
        <f t="shared" si="0"/>
        <v>414.72</v>
      </c>
      <c r="F8" s="8">
        <v>0</v>
      </c>
      <c r="G8" s="8">
        <v>0</v>
      </c>
    </row>
    <row r="9" spans="1:7" ht="15.75" customHeight="1" x14ac:dyDescent="0.35">
      <c r="A9" s="7">
        <v>2022</v>
      </c>
      <c r="B9" s="7" t="s">
        <v>14</v>
      </c>
      <c r="C9" s="8">
        <v>1071.17</v>
      </c>
      <c r="D9" s="8">
        <v>3450</v>
      </c>
      <c r="E9" s="8">
        <f t="shared" si="0"/>
        <v>728.82999999999993</v>
      </c>
      <c r="F9" s="8">
        <v>0</v>
      </c>
      <c r="G9" s="8">
        <v>1650</v>
      </c>
    </row>
    <row r="10" spans="1:7" ht="15.75" customHeight="1" x14ac:dyDescent="0.25">
      <c r="A10" s="7">
        <v>2023</v>
      </c>
      <c r="B10" s="7" t="s">
        <v>15</v>
      </c>
      <c r="C10" s="9">
        <v>1748.15</v>
      </c>
      <c r="D10" s="9">
        <v>2701</v>
      </c>
      <c r="E10" s="9">
        <v>952.84999999999991</v>
      </c>
      <c r="F10" s="9">
        <v>0</v>
      </c>
      <c r="G10" s="9">
        <v>0</v>
      </c>
    </row>
    <row r="11" spans="1:7" ht="15.75" customHeight="1" x14ac:dyDescent="0.25">
      <c r="A11" s="7">
        <v>2023</v>
      </c>
      <c r="B11" s="7" t="s">
        <v>16</v>
      </c>
      <c r="C11" s="9">
        <v>3829.48</v>
      </c>
      <c r="D11" s="9">
        <v>2020</v>
      </c>
      <c r="E11" s="9">
        <v>-1809.48</v>
      </c>
      <c r="F11" s="9">
        <v>0</v>
      </c>
      <c r="G11" s="9">
        <v>1600</v>
      </c>
    </row>
    <row r="12" spans="1:7" ht="15.75" customHeight="1" x14ac:dyDescent="0.25">
      <c r="A12" s="7">
        <v>2023</v>
      </c>
      <c r="B12" s="7" t="s">
        <v>17</v>
      </c>
      <c r="C12" s="9">
        <v>1074.29</v>
      </c>
      <c r="D12" s="9">
        <v>2081.5</v>
      </c>
      <c r="E12" s="9">
        <v>1007.21</v>
      </c>
      <c r="F12" s="9">
        <v>0</v>
      </c>
      <c r="G12" s="9">
        <v>0</v>
      </c>
    </row>
    <row r="13" spans="1:7" ht="15.75" customHeight="1" x14ac:dyDescent="0.25">
      <c r="A13" s="7">
        <v>2023</v>
      </c>
      <c r="B13" s="7" t="s">
        <v>18</v>
      </c>
      <c r="C13" s="9">
        <v>1401.68</v>
      </c>
      <c r="D13" s="9">
        <v>2095.17</v>
      </c>
      <c r="E13" s="9">
        <v>693.49</v>
      </c>
      <c r="F13" s="9">
        <v>0</v>
      </c>
      <c r="G13" s="9">
        <v>0</v>
      </c>
    </row>
    <row r="14" spans="1:7" ht="15.75" customHeight="1" x14ac:dyDescent="0.25">
      <c r="A14" s="7">
        <v>2023</v>
      </c>
      <c r="B14" s="7" t="s">
        <v>19</v>
      </c>
      <c r="C14" s="9">
        <v>1191.3700000000001</v>
      </c>
      <c r="D14" s="9">
        <v>2158.3000000000002</v>
      </c>
      <c r="E14" s="9">
        <v>966.93000000000006</v>
      </c>
      <c r="F14" s="9">
        <v>0</v>
      </c>
      <c r="G14" s="9">
        <v>0</v>
      </c>
    </row>
    <row r="15" spans="1:7" ht="15.75" customHeight="1" x14ac:dyDescent="0.25">
      <c r="A15" s="7">
        <v>2023</v>
      </c>
      <c r="B15" s="7" t="s">
        <v>20</v>
      </c>
      <c r="C15" s="9">
        <v>2683.74</v>
      </c>
      <c r="D15" s="9">
        <v>2324.6999999999998</v>
      </c>
      <c r="E15" s="9">
        <v>-359.03999999999996</v>
      </c>
      <c r="F15" s="9">
        <v>1000</v>
      </c>
      <c r="G15" s="9">
        <v>0</v>
      </c>
    </row>
    <row r="16" spans="1:7" ht="15.75" customHeight="1" x14ac:dyDescent="0.25">
      <c r="A16" s="7">
        <v>2023</v>
      </c>
      <c r="B16" s="7" t="s">
        <v>9</v>
      </c>
      <c r="C16" s="9">
        <v>2875.04</v>
      </c>
      <c r="D16" s="9">
        <v>2440.2599999999998</v>
      </c>
      <c r="E16" s="9">
        <v>-434.7800000000002</v>
      </c>
      <c r="F16" s="9">
        <v>0</v>
      </c>
      <c r="G16" s="9">
        <v>0</v>
      </c>
    </row>
    <row r="17" spans="1:7" ht="15.75" customHeight="1" x14ac:dyDescent="0.25">
      <c r="A17" s="7">
        <v>2023</v>
      </c>
      <c r="B17" s="7" t="s">
        <v>10</v>
      </c>
      <c r="C17" s="9">
        <v>2034.2199999999998</v>
      </c>
      <c r="D17" s="9">
        <v>1848.9</v>
      </c>
      <c r="E17" s="9">
        <v>-185.31999999999971</v>
      </c>
      <c r="F17" s="9">
        <v>0</v>
      </c>
      <c r="G17" s="9">
        <v>0</v>
      </c>
    </row>
    <row r="18" spans="1:7" ht="15.75" customHeight="1" x14ac:dyDescent="0.25">
      <c r="A18" s="7">
        <v>2023</v>
      </c>
      <c r="B18" s="7" t="s">
        <v>11</v>
      </c>
      <c r="C18" s="9">
        <v>2326.23</v>
      </c>
      <c r="D18" s="9">
        <v>1835.1000000000001</v>
      </c>
      <c r="E18" s="9">
        <v>-491.12999999999988</v>
      </c>
      <c r="F18" s="9">
        <v>0</v>
      </c>
      <c r="G18" s="9">
        <v>100</v>
      </c>
    </row>
    <row r="19" spans="1:7" ht="15.75" customHeight="1" x14ac:dyDescent="0.25">
      <c r="A19" s="7">
        <v>2023</v>
      </c>
      <c r="B19" s="7" t="s">
        <v>12</v>
      </c>
      <c r="C19" s="9">
        <v>1562.22</v>
      </c>
      <c r="D19" s="9">
        <v>1817</v>
      </c>
      <c r="E19" s="9">
        <v>254.77999999999997</v>
      </c>
      <c r="F19" s="9">
        <v>0</v>
      </c>
      <c r="G19" s="9">
        <v>0</v>
      </c>
    </row>
    <row r="20" spans="1:7" ht="15.75" customHeight="1" x14ac:dyDescent="0.25">
      <c r="A20" s="7">
        <v>2023</v>
      </c>
      <c r="B20" s="7" t="s">
        <v>13</v>
      </c>
      <c r="C20" s="9">
        <v>1253.83</v>
      </c>
      <c r="D20" s="9">
        <v>1899.76</v>
      </c>
      <c r="E20" s="9">
        <v>645.93000000000006</v>
      </c>
      <c r="F20" s="9">
        <v>0</v>
      </c>
      <c r="G20" s="9">
        <v>0</v>
      </c>
    </row>
    <row r="21" spans="1:7" ht="15.75" customHeight="1" x14ac:dyDescent="0.25">
      <c r="A21" s="7">
        <v>2023</v>
      </c>
      <c r="B21" s="7" t="s">
        <v>14</v>
      </c>
      <c r="C21" s="9">
        <v>2064.5099999999998</v>
      </c>
      <c r="D21" s="9">
        <v>3621.2400000000002</v>
      </c>
      <c r="E21" s="9">
        <v>1556.7300000000005</v>
      </c>
      <c r="F21" s="9">
        <v>0</v>
      </c>
      <c r="G21" s="9">
        <v>0</v>
      </c>
    </row>
    <row r="22" spans="1:7" ht="12.5" x14ac:dyDescent="0.25">
      <c r="A22" s="7">
        <v>2024</v>
      </c>
      <c r="B22" s="7" t="s">
        <v>15</v>
      </c>
      <c r="C22" s="9">
        <v>1918.5200000000002</v>
      </c>
      <c r="D22" s="9">
        <v>1797.11</v>
      </c>
      <c r="E22" s="9">
        <v>-121.41000000000031</v>
      </c>
      <c r="F22" s="9">
        <v>0</v>
      </c>
      <c r="G22" s="9">
        <v>624.5</v>
      </c>
    </row>
    <row r="23" spans="1:7" ht="12.5" x14ac:dyDescent="0.25">
      <c r="A23" s="7">
        <v>2024</v>
      </c>
      <c r="B23" s="7" t="s">
        <v>16</v>
      </c>
      <c r="C23" s="9">
        <v>1526.15</v>
      </c>
      <c r="D23" s="9">
        <v>1908.14</v>
      </c>
      <c r="E23" s="9">
        <v>381.99</v>
      </c>
      <c r="F23" s="9">
        <v>200</v>
      </c>
      <c r="G23" s="9">
        <v>0</v>
      </c>
    </row>
    <row r="24" spans="1:7" ht="12.5" x14ac:dyDescent="0.25">
      <c r="A24" s="7">
        <v>2024</v>
      </c>
      <c r="B24" s="7" t="s">
        <v>17</v>
      </c>
      <c r="C24" s="9">
        <v>1764.3000000000002</v>
      </c>
      <c r="D24" s="9">
        <v>1832.23</v>
      </c>
      <c r="E24" s="9">
        <v>67.929999999999836</v>
      </c>
      <c r="F24" s="9">
        <v>100</v>
      </c>
      <c r="G24" s="9">
        <v>10</v>
      </c>
    </row>
    <row r="25" spans="1:7" ht="12.5" x14ac:dyDescent="0.25">
      <c r="A25" s="7">
        <v>2024</v>
      </c>
      <c r="B25" s="7" t="s">
        <v>18</v>
      </c>
      <c r="C25" s="9">
        <v>4150.4699999999993</v>
      </c>
      <c r="D25" s="9">
        <v>2256.6099999999997</v>
      </c>
      <c r="E25" s="9">
        <v>-1893.8599999999997</v>
      </c>
      <c r="F25" s="9">
        <v>200</v>
      </c>
      <c r="G25" s="9">
        <v>0</v>
      </c>
    </row>
    <row r="26" spans="1:7" ht="12.5" x14ac:dyDescent="0.25">
      <c r="A26" s="7">
        <v>2024</v>
      </c>
      <c r="B26" s="7" t="s">
        <v>19</v>
      </c>
      <c r="C26" s="9">
        <v>2279.6300000000006</v>
      </c>
      <c r="D26" s="9">
        <v>1955.16</v>
      </c>
      <c r="E26" s="9">
        <v>-324.47000000000048</v>
      </c>
      <c r="F26" s="9">
        <v>200</v>
      </c>
      <c r="G26" s="9">
        <v>85</v>
      </c>
    </row>
    <row r="27" spans="1:7" ht="12.5" x14ac:dyDescent="0.25">
      <c r="A27" s="7">
        <v>2024</v>
      </c>
      <c r="B27" s="7" t="s">
        <v>20</v>
      </c>
      <c r="C27" s="9">
        <v>1410.48</v>
      </c>
      <c r="D27" s="9">
        <v>1842.1</v>
      </c>
      <c r="E27" s="9">
        <v>431.61999999999989</v>
      </c>
      <c r="F27" s="9">
        <v>100</v>
      </c>
      <c r="G27" s="9">
        <v>47.29</v>
      </c>
    </row>
    <row r="28" spans="1:7" ht="12.5" x14ac:dyDescent="0.25">
      <c r="A28" s="7">
        <v>2024</v>
      </c>
      <c r="B28" s="7" t="s">
        <v>9</v>
      </c>
      <c r="C28" s="9">
        <v>2189.66</v>
      </c>
      <c r="D28" s="9">
        <v>1992.46</v>
      </c>
      <c r="E28" s="9">
        <v>-197.19999999999982</v>
      </c>
      <c r="F28" s="9">
        <v>100</v>
      </c>
      <c r="G28" s="9">
        <v>0</v>
      </c>
    </row>
    <row r="29" spans="1:7" ht="12.5" x14ac:dyDescent="0.25">
      <c r="A29" s="7">
        <v>2024</v>
      </c>
      <c r="B29" s="7" t="s">
        <v>10</v>
      </c>
      <c r="C29" s="9">
        <v>1606.73</v>
      </c>
      <c r="D29" s="9">
        <v>1850</v>
      </c>
      <c r="E29" s="9">
        <v>243.26999999999998</v>
      </c>
      <c r="F29" s="9">
        <v>100</v>
      </c>
      <c r="G29" s="9">
        <v>200</v>
      </c>
    </row>
    <row r="30" spans="1:7" ht="12.5" x14ac:dyDescent="0.25">
      <c r="A30" s="7">
        <v>2024</v>
      </c>
      <c r="B30" s="7" t="s">
        <v>11</v>
      </c>
      <c r="C30" s="9">
        <v>1820.5600000000002</v>
      </c>
      <c r="D30" s="9">
        <v>1821.35</v>
      </c>
      <c r="E30" s="9">
        <v>0.78999999999973625</v>
      </c>
      <c r="F30" s="9">
        <v>200</v>
      </c>
      <c r="G30" s="9">
        <v>0</v>
      </c>
    </row>
    <row r="31" spans="1:7" ht="12.5" x14ac:dyDescent="0.25">
      <c r="A31" s="7">
        <v>2024</v>
      </c>
      <c r="B31" s="7" t="s">
        <v>12</v>
      </c>
      <c r="C31" s="9">
        <v>2936.16</v>
      </c>
      <c r="D31" s="9">
        <v>1854.55</v>
      </c>
      <c r="E31" s="9">
        <v>-1081.6099999999999</v>
      </c>
      <c r="F31" s="9">
        <v>0</v>
      </c>
      <c r="G31" s="9">
        <v>0</v>
      </c>
    </row>
    <row r="32" spans="1:7" ht="12.5" x14ac:dyDescent="0.25">
      <c r="A32" s="7">
        <v>2024</v>
      </c>
      <c r="B32" s="7" t="s">
        <v>13</v>
      </c>
      <c r="C32" s="9">
        <v>1915.83</v>
      </c>
      <c r="D32" s="9">
        <v>3823.57</v>
      </c>
      <c r="E32" s="9">
        <v>1907.7400000000002</v>
      </c>
      <c r="F32" s="9">
        <v>360</v>
      </c>
      <c r="G32" s="9">
        <v>0</v>
      </c>
    </row>
    <row r="33" spans="1:7" ht="12.5" x14ac:dyDescent="0.25">
      <c r="A33" s="7">
        <v>2024</v>
      </c>
      <c r="B33" s="7" t="s">
        <v>14</v>
      </c>
      <c r="C33" s="9">
        <v>2555.0199999999995</v>
      </c>
      <c r="D33" s="9">
        <v>2822.2200000000003</v>
      </c>
      <c r="E33" s="9">
        <v>267.20000000000073</v>
      </c>
      <c r="F33" s="9">
        <v>100</v>
      </c>
      <c r="G33" s="9">
        <v>0</v>
      </c>
    </row>
    <row r="34" spans="1:7" ht="12.5" x14ac:dyDescent="0.25">
      <c r="A34" s="7">
        <v>2025</v>
      </c>
      <c r="B34" s="7" t="s">
        <v>15</v>
      </c>
      <c r="C34" s="9">
        <v>3510.1199999999994</v>
      </c>
      <c r="D34" s="9">
        <v>3057.4</v>
      </c>
      <c r="E34" s="9">
        <v>-452.71999999999935</v>
      </c>
      <c r="F34" s="9">
        <v>100</v>
      </c>
      <c r="G34" s="9">
        <v>439.8</v>
      </c>
    </row>
    <row r="35" spans="1:7" ht="12.5" x14ac:dyDescent="0.25">
      <c r="A35" s="7">
        <v>2025</v>
      </c>
      <c r="B35" s="7" t="s">
        <v>16</v>
      </c>
      <c r="C35" s="9">
        <v>2092.8150000000001</v>
      </c>
      <c r="D35" s="9">
        <v>2374</v>
      </c>
      <c r="E35" s="9">
        <v>281.18499999999995</v>
      </c>
      <c r="F35" s="9">
        <v>100</v>
      </c>
      <c r="G35" s="9">
        <v>0</v>
      </c>
    </row>
    <row r="36" spans="1:7" ht="12.5" x14ac:dyDescent="0.25">
      <c r="A36" s="7">
        <v>2025</v>
      </c>
      <c r="B36" s="7" t="s">
        <v>17</v>
      </c>
      <c r="C36" s="9">
        <v>1902.6399999999999</v>
      </c>
      <c r="D36" s="9">
        <v>2443</v>
      </c>
      <c r="E36" s="9">
        <v>540.36000000000013</v>
      </c>
      <c r="F36" s="9">
        <v>100</v>
      </c>
      <c r="G36" s="9">
        <v>0</v>
      </c>
    </row>
    <row r="37" spans="1:7" ht="12.5" x14ac:dyDescent="0.25">
      <c r="A37" s="7">
        <v>2025</v>
      </c>
      <c r="B37" s="7" t="s">
        <v>18</v>
      </c>
      <c r="C37" s="9">
        <v>2605.3749999999995</v>
      </c>
      <c r="D37" s="9">
        <v>2511.4</v>
      </c>
      <c r="E37" s="9">
        <v>-93.974999999999454</v>
      </c>
      <c r="F37" s="9">
        <v>100</v>
      </c>
      <c r="G37" s="9">
        <v>0</v>
      </c>
    </row>
    <row r="38" spans="1:7" ht="12.5" x14ac:dyDescent="0.25">
      <c r="A38" s="7">
        <v>2025</v>
      </c>
      <c r="B38" s="7" t="s">
        <v>19</v>
      </c>
      <c r="C38" s="9">
        <v>2827.3049999999998</v>
      </c>
      <c r="D38" s="9">
        <v>2075</v>
      </c>
      <c r="E38" s="9">
        <v>-752.30499999999984</v>
      </c>
      <c r="F38" s="9">
        <v>100</v>
      </c>
      <c r="G38" s="9">
        <v>0</v>
      </c>
    </row>
    <row r="39" spans="1:7" ht="12.5" x14ac:dyDescent="0.25">
      <c r="A39" s="7">
        <v>2025</v>
      </c>
      <c r="B39" s="7" t="s">
        <v>20</v>
      </c>
      <c r="C39" s="9">
        <v>1829.5850000000003</v>
      </c>
      <c r="D39" s="9">
        <v>2629</v>
      </c>
      <c r="E39" s="9">
        <v>799.41499999999974</v>
      </c>
      <c r="F39" s="9">
        <v>100</v>
      </c>
      <c r="G39" s="9">
        <v>0</v>
      </c>
    </row>
    <row r="40" spans="1:7" ht="12.5" x14ac:dyDescent="0.25">
      <c r="A40" s="7">
        <v>2025</v>
      </c>
      <c r="B40" s="7" t="s">
        <v>9</v>
      </c>
      <c r="C40" s="9">
        <v>2609.1899999999996</v>
      </c>
      <c r="D40" s="9">
        <v>2222</v>
      </c>
      <c r="E40" s="9">
        <v>-387.1899999999996</v>
      </c>
      <c r="F40" s="9">
        <v>100</v>
      </c>
      <c r="G40" s="9">
        <v>0</v>
      </c>
    </row>
    <row r="41" spans="1:7" ht="12.5" x14ac:dyDescent="0.25">
      <c r="A41" s="7">
        <v>2025</v>
      </c>
      <c r="B41" s="7" t="s">
        <v>10</v>
      </c>
      <c r="C41" s="9">
        <v>1620.1200000000001</v>
      </c>
      <c r="D41" s="9">
        <v>772</v>
      </c>
      <c r="E41" s="9">
        <v>-848.12000000000012</v>
      </c>
      <c r="F41" s="9">
        <v>100</v>
      </c>
      <c r="G41" s="9">
        <v>0</v>
      </c>
    </row>
    <row r="42" spans="1:7" ht="12.5" x14ac:dyDescent="0.25">
      <c r="A42" s="7">
        <v>2025</v>
      </c>
      <c r="B42" s="7" t="s">
        <v>11</v>
      </c>
      <c r="C42" s="9">
        <v>3316.8249999999998</v>
      </c>
      <c r="D42" s="9">
        <v>2462</v>
      </c>
      <c r="E42" s="9">
        <v>-854.82499999999982</v>
      </c>
      <c r="F42" s="9">
        <v>100</v>
      </c>
      <c r="G42" s="9">
        <v>464.69</v>
      </c>
    </row>
    <row r="43" spans="1:7" ht="12.5" x14ac:dyDescent="0.25">
      <c r="A43" s="7">
        <v>2025</v>
      </c>
      <c r="B43" s="7" t="s">
        <v>12</v>
      </c>
      <c r="C43" s="9">
        <v>3427.0199999999995</v>
      </c>
      <c r="D43" s="9">
        <v>2332</v>
      </c>
      <c r="E43" s="9">
        <v>-1095.0199999999995</v>
      </c>
      <c r="F43" s="9">
        <v>100</v>
      </c>
      <c r="G43" s="9">
        <v>51.5</v>
      </c>
    </row>
    <row r="44" spans="1:7" ht="12.5" x14ac:dyDescent="0.25">
      <c r="A44" s="7">
        <v>2025</v>
      </c>
      <c r="B44" s="7" t="s">
        <v>13</v>
      </c>
      <c r="C44" s="9">
        <v>1400.78</v>
      </c>
      <c r="D44" s="9">
        <v>2329</v>
      </c>
      <c r="E44" s="9">
        <v>928.22</v>
      </c>
      <c r="F44" s="9">
        <v>100</v>
      </c>
      <c r="G44" s="9">
        <v>47.85</v>
      </c>
    </row>
    <row r="45" spans="1:7" ht="12.5" x14ac:dyDescent="0.25">
      <c r="A45" s="7">
        <v>2025</v>
      </c>
      <c r="B45" s="7" t="s">
        <v>14</v>
      </c>
      <c r="C45" s="9">
        <v>2218.1499999999996</v>
      </c>
      <c r="D45" s="9">
        <v>4687.1000000000004</v>
      </c>
      <c r="E45" s="9">
        <v>2468.9500000000007</v>
      </c>
      <c r="F45" s="9">
        <v>0</v>
      </c>
      <c r="G45" s="9">
        <v>0</v>
      </c>
    </row>
    <row r="46" spans="1:7" ht="12.5" x14ac:dyDescent="0.25">
      <c r="A46" s="7">
        <v>2026</v>
      </c>
      <c r="B46" s="7" t="s">
        <v>15</v>
      </c>
      <c r="C46" s="10">
        <v>1833.38</v>
      </c>
      <c r="D46" s="10">
        <v>2038</v>
      </c>
      <c r="E46" s="10">
        <v>204.62</v>
      </c>
      <c r="F46" s="10">
        <v>100</v>
      </c>
      <c r="G46" s="10">
        <v>0</v>
      </c>
    </row>
    <row r="47" spans="1:7" ht="12.5" x14ac:dyDescent="0.25">
      <c r="A47" s="7">
        <v>2026</v>
      </c>
      <c r="B47" s="7" t="s">
        <v>16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2.5" x14ac:dyDescent="0.25">
      <c r="A48" s="7">
        <v>2026</v>
      </c>
      <c r="B48" s="7" t="s">
        <v>17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ht="12.5" x14ac:dyDescent="0.25">
      <c r="A49" s="7">
        <v>2026</v>
      </c>
      <c r="B49" s="7" t="s">
        <v>18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ht="12.5" x14ac:dyDescent="0.25">
      <c r="A50" s="7">
        <v>2026</v>
      </c>
      <c r="B50" s="7" t="s">
        <v>19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</row>
    <row r="51" spans="1:7" ht="12.5" x14ac:dyDescent="0.25">
      <c r="A51" s="7">
        <v>2026</v>
      </c>
      <c r="B51" s="7" t="s">
        <v>20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</row>
    <row r="52" spans="1:7" ht="12.5" x14ac:dyDescent="0.25">
      <c r="A52" s="7">
        <v>2026</v>
      </c>
      <c r="B52" s="7" t="s">
        <v>9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</row>
    <row r="53" spans="1:7" ht="12.5" x14ac:dyDescent="0.25">
      <c r="A53" s="7">
        <v>2026</v>
      </c>
      <c r="B53" s="7" t="s">
        <v>10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</row>
    <row r="54" spans="1:7" ht="12.5" x14ac:dyDescent="0.25">
      <c r="A54" s="7">
        <v>2026</v>
      </c>
      <c r="B54" s="7" t="s">
        <v>11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2.5" x14ac:dyDescent="0.25">
      <c r="A55" s="7">
        <v>2026</v>
      </c>
      <c r="B55" s="7" t="s">
        <v>12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2.5" x14ac:dyDescent="0.25">
      <c r="A56" s="7">
        <v>2026</v>
      </c>
      <c r="B56" s="7" t="s">
        <v>13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2.5" x14ac:dyDescent="0.25">
      <c r="A57" s="7">
        <v>2026</v>
      </c>
      <c r="B57" s="7" t="s">
        <v>14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</row>
    <row r="58" spans="1:7" ht="12.5" x14ac:dyDescent="0.25">
      <c r="B58" s="7" t="s">
        <v>15</v>
      </c>
    </row>
    <row r="59" spans="1:7" ht="12.5" x14ac:dyDescent="0.25">
      <c r="B59" s="7" t="s">
        <v>16</v>
      </c>
    </row>
    <row r="60" spans="1:7" ht="12.5" x14ac:dyDescent="0.25">
      <c r="B60" s="7" t="s">
        <v>17</v>
      </c>
    </row>
    <row r="61" spans="1:7" ht="12.5" x14ac:dyDescent="0.25">
      <c r="B61" s="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53"/>
  <sheetViews>
    <sheetView workbookViewId="0"/>
  </sheetViews>
  <sheetFormatPr defaultColWidth="12.6328125" defaultRowHeight="15.75" customHeight="1" x14ac:dyDescent="0.25"/>
  <cols>
    <col min="1" max="1" width="9.6328125" customWidth="1"/>
    <col min="2" max="2" width="5.90625" customWidth="1"/>
    <col min="3" max="3" width="7.453125" customWidth="1"/>
    <col min="4" max="4" width="8.90625" customWidth="1"/>
    <col min="5" max="6" width="7.453125" customWidth="1"/>
    <col min="7" max="7" width="14" customWidth="1"/>
    <col min="8" max="8" width="8.90625" customWidth="1"/>
    <col min="9" max="10" width="7.453125" customWidth="1"/>
    <col min="11" max="12" width="8.90625" customWidth="1"/>
    <col min="13" max="13" width="11.453125" customWidth="1"/>
    <col min="14" max="17" width="7.453125" customWidth="1"/>
    <col min="18" max="19" width="8.90625" customWidth="1"/>
    <col min="20" max="20" width="12.90625" customWidth="1"/>
    <col min="21" max="21" width="13.453125" customWidth="1"/>
    <col min="22" max="22" width="12.08984375" customWidth="1"/>
    <col min="23" max="24" width="9.7265625" customWidth="1"/>
    <col min="25" max="25" width="8.90625" customWidth="1"/>
    <col min="26" max="26" width="6.6328125" customWidth="1"/>
    <col min="27" max="27" width="9.7265625" customWidth="1"/>
  </cols>
  <sheetData>
    <row r="1" spans="1:28" ht="15.75" customHeight="1" x14ac:dyDescent="0.35">
      <c r="A1" s="7" t="s">
        <v>1</v>
      </c>
      <c r="B1" s="7" t="s">
        <v>0</v>
      </c>
      <c r="C1" s="11" t="s">
        <v>21</v>
      </c>
      <c r="D1" s="11" t="s">
        <v>22</v>
      </c>
      <c r="E1" s="12" t="s">
        <v>23</v>
      </c>
      <c r="F1" s="11" t="s">
        <v>24</v>
      </c>
      <c r="G1" s="12" t="s">
        <v>25</v>
      </c>
      <c r="H1" s="12" t="s">
        <v>26</v>
      </c>
      <c r="I1" s="12" t="s">
        <v>27</v>
      </c>
      <c r="J1" s="12" t="s">
        <v>28</v>
      </c>
      <c r="K1" s="11" t="s">
        <v>29</v>
      </c>
      <c r="L1" s="11" t="s">
        <v>30</v>
      </c>
      <c r="M1" s="11" t="s">
        <v>31</v>
      </c>
      <c r="N1" s="11" t="s">
        <v>32</v>
      </c>
      <c r="O1" s="11" t="s">
        <v>33</v>
      </c>
      <c r="P1" s="11" t="s">
        <v>34</v>
      </c>
      <c r="Q1" s="11" t="s">
        <v>35</v>
      </c>
      <c r="R1" s="11" t="s">
        <v>36</v>
      </c>
      <c r="S1" s="11" t="s">
        <v>37</v>
      </c>
      <c r="T1" s="11" t="s">
        <v>38</v>
      </c>
      <c r="U1" s="11" t="s">
        <v>39</v>
      </c>
      <c r="V1" s="12" t="s">
        <v>40</v>
      </c>
      <c r="W1" s="12" t="s">
        <v>41</v>
      </c>
      <c r="X1" s="12" t="s">
        <v>6</v>
      </c>
      <c r="Y1" s="12" t="s">
        <v>42</v>
      </c>
      <c r="Z1" s="12" t="s">
        <v>43</v>
      </c>
      <c r="AA1" s="13" t="s">
        <v>44</v>
      </c>
      <c r="AB1" s="13"/>
    </row>
    <row r="2" spans="1:28" ht="15.75" customHeight="1" x14ac:dyDescent="0.35">
      <c r="A2" s="7" t="s">
        <v>15</v>
      </c>
      <c r="B2" s="7">
        <v>2023</v>
      </c>
      <c r="C2" s="14">
        <v>4.5</v>
      </c>
      <c r="D2" s="14">
        <v>66.8</v>
      </c>
      <c r="E2" s="14">
        <v>36.4</v>
      </c>
      <c r="F2" s="14">
        <v>14.5</v>
      </c>
      <c r="G2" s="14">
        <v>382.95</v>
      </c>
      <c r="H2" s="14">
        <v>381</v>
      </c>
      <c r="I2" s="14">
        <v>30</v>
      </c>
      <c r="J2" s="14">
        <v>0</v>
      </c>
      <c r="K2" s="14">
        <v>505</v>
      </c>
      <c r="L2" s="14">
        <v>200</v>
      </c>
      <c r="M2" s="15"/>
      <c r="N2" s="14">
        <v>22</v>
      </c>
      <c r="O2" s="15"/>
      <c r="P2" s="15"/>
      <c r="Q2" s="14">
        <v>105</v>
      </c>
      <c r="R2" s="14">
        <v>0</v>
      </c>
      <c r="S2" s="14">
        <v>0</v>
      </c>
      <c r="T2" s="14">
        <v>0</v>
      </c>
      <c r="U2" s="15"/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9">
        <f t="shared" ref="AA2:AA53" si="0">SUM(C2:Z2)</f>
        <v>1748.15</v>
      </c>
      <c r="AB2" s="8"/>
    </row>
    <row r="3" spans="1:28" ht="15.75" customHeight="1" x14ac:dyDescent="0.35">
      <c r="A3" s="7" t="s">
        <v>16</v>
      </c>
      <c r="B3" s="7">
        <v>2023</v>
      </c>
      <c r="C3" s="14">
        <v>4</v>
      </c>
      <c r="D3" s="14">
        <v>98.9</v>
      </c>
      <c r="E3" s="14">
        <v>38.1</v>
      </c>
      <c r="F3" s="14">
        <v>9.0299999999999994</v>
      </c>
      <c r="G3" s="14">
        <v>129.99</v>
      </c>
      <c r="H3" s="14">
        <v>1086.76</v>
      </c>
      <c r="I3" s="14">
        <v>28.3</v>
      </c>
      <c r="J3" s="14">
        <v>54</v>
      </c>
      <c r="K3" s="14">
        <v>500</v>
      </c>
      <c r="L3" s="14">
        <v>222.5</v>
      </c>
      <c r="M3" s="15"/>
      <c r="N3" s="14">
        <v>20</v>
      </c>
      <c r="O3" s="14">
        <v>20</v>
      </c>
      <c r="P3" s="14">
        <v>4.9000000000000004</v>
      </c>
      <c r="Q3" s="14">
        <v>13</v>
      </c>
      <c r="R3" s="14">
        <v>0</v>
      </c>
      <c r="S3" s="14">
        <v>0</v>
      </c>
      <c r="T3" s="14">
        <v>0</v>
      </c>
      <c r="U3" s="15"/>
      <c r="V3" s="14">
        <v>0</v>
      </c>
      <c r="W3" s="14">
        <v>0</v>
      </c>
      <c r="X3" s="14">
        <v>1600</v>
      </c>
      <c r="Y3" s="14">
        <v>0</v>
      </c>
      <c r="Z3" s="14">
        <v>0</v>
      </c>
      <c r="AA3" s="9">
        <f t="shared" si="0"/>
        <v>3829.48</v>
      </c>
    </row>
    <row r="4" spans="1:28" ht="15.75" customHeight="1" x14ac:dyDescent="0.35">
      <c r="A4" s="7" t="s">
        <v>17</v>
      </c>
      <c r="B4" s="7">
        <v>2023</v>
      </c>
      <c r="C4" s="14">
        <v>3.8</v>
      </c>
      <c r="D4" s="14">
        <v>70.599999999999994</v>
      </c>
      <c r="E4" s="14">
        <v>39.4</v>
      </c>
      <c r="F4" s="14">
        <v>12.35</v>
      </c>
      <c r="G4" s="14">
        <v>20</v>
      </c>
      <c r="H4" s="14">
        <v>0</v>
      </c>
      <c r="I4" s="14">
        <v>0</v>
      </c>
      <c r="J4" s="14">
        <v>22</v>
      </c>
      <c r="K4" s="14">
        <v>500</v>
      </c>
      <c r="L4" s="14">
        <v>151.99</v>
      </c>
      <c r="M4" s="14">
        <v>15.2</v>
      </c>
      <c r="N4" s="14">
        <v>20</v>
      </c>
      <c r="O4" s="14">
        <v>23</v>
      </c>
      <c r="P4" s="14">
        <v>105.05</v>
      </c>
      <c r="Q4" s="14">
        <v>25</v>
      </c>
      <c r="R4" s="14">
        <v>0</v>
      </c>
      <c r="S4" s="14">
        <v>0</v>
      </c>
      <c r="T4" s="14">
        <v>0</v>
      </c>
      <c r="U4" s="15"/>
      <c r="V4" s="14">
        <v>0</v>
      </c>
      <c r="W4" s="14">
        <v>0</v>
      </c>
      <c r="X4" s="14">
        <v>0</v>
      </c>
      <c r="Y4" s="14">
        <v>65.900000000000006</v>
      </c>
      <c r="Z4" s="14">
        <v>0</v>
      </c>
      <c r="AA4" s="9">
        <f t="shared" si="0"/>
        <v>1074.29</v>
      </c>
    </row>
    <row r="5" spans="1:28" ht="15.75" customHeight="1" x14ac:dyDescent="0.35">
      <c r="A5" s="7" t="s">
        <v>18</v>
      </c>
      <c r="B5" s="7">
        <v>2023</v>
      </c>
      <c r="C5" s="14">
        <v>3.7</v>
      </c>
      <c r="D5" s="14">
        <v>141.80000000000001</v>
      </c>
      <c r="E5" s="14">
        <v>118.85</v>
      </c>
      <c r="F5" s="14">
        <v>5</v>
      </c>
      <c r="G5" s="14">
        <v>292.05</v>
      </c>
      <c r="H5" s="14">
        <v>0</v>
      </c>
      <c r="I5" s="14">
        <v>18.53</v>
      </c>
      <c r="J5" s="14">
        <v>15</v>
      </c>
      <c r="K5" s="14">
        <v>500</v>
      </c>
      <c r="L5" s="14">
        <v>198.96</v>
      </c>
      <c r="M5" s="15"/>
      <c r="N5" s="14">
        <v>30</v>
      </c>
      <c r="O5" s="14">
        <v>0</v>
      </c>
      <c r="P5" s="14">
        <v>0</v>
      </c>
      <c r="Q5" s="14">
        <v>46.99</v>
      </c>
      <c r="R5" s="14">
        <v>0</v>
      </c>
      <c r="S5" s="14">
        <v>0</v>
      </c>
      <c r="T5" s="14">
        <v>0</v>
      </c>
      <c r="U5" s="15"/>
      <c r="V5" s="14">
        <v>0</v>
      </c>
      <c r="W5" s="14">
        <v>0</v>
      </c>
      <c r="X5" s="14">
        <v>0</v>
      </c>
      <c r="Y5" s="14">
        <v>30.8</v>
      </c>
      <c r="Z5" s="14">
        <v>0</v>
      </c>
      <c r="AA5" s="9">
        <f t="shared" si="0"/>
        <v>1401.68</v>
      </c>
    </row>
    <row r="6" spans="1:28" ht="15.75" customHeight="1" x14ac:dyDescent="0.35">
      <c r="A6" s="7" t="s">
        <v>19</v>
      </c>
      <c r="B6" s="7">
        <v>2023</v>
      </c>
      <c r="C6" s="14">
        <v>2.5</v>
      </c>
      <c r="D6" s="14">
        <v>71.2</v>
      </c>
      <c r="E6" s="14">
        <v>60.55</v>
      </c>
      <c r="F6" s="14">
        <v>15.85</v>
      </c>
      <c r="G6" s="14">
        <v>41.5</v>
      </c>
      <c r="H6" s="14">
        <v>0</v>
      </c>
      <c r="I6" s="14">
        <v>0</v>
      </c>
      <c r="J6" s="14">
        <v>7</v>
      </c>
      <c r="K6" s="14">
        <v>758.97</v>
      </c>
      <c r="L6" s="14">
        <v>118.8</v>
      </c>
      <c r="M6" s="15"/>
      <c r="N6" s="14">
        <v>20</v>
      </c>
      <c r="O6" s="14">
        <v>0</v>
      </c>
      <c r="P6" s="14">
        <v>28.5</v>
      </c>
      <c r="Q6" s="14">
        <v>10</v>
      </c>
      <c r="R6" s="14">
        <v>0</v>
      </c>
      <c r="S6" s="14">
        <v>0</v>
      </c>
      <c r="T6" s="14">
        <v>0</v>
      </c>
      <c r="U6" s="15"/>
      <c r="V6" s="14">
        <v>0</v>
      </c>
      <c r="W6" s="14">
        <v>0</v>
      </c>
      <c r="X6" s="14">
        <v>0</v>
      </c>
      <c r="Y6" s="14">
        <v>56.5</v>
      </c>
      <c r="Z6" s="14">
        <v>0</v>
      </c>
      <c r="AA6" s="9">
        <f t="shared" si="0"/>
        <v>1191.3700000000001</v>
      </c>
    </row>
    <row r="7" spans="1:28" ht="15.75" customHeight="1" x14ac:dyDescent="0.35">
      <c r="A7" s="7" t="s">
        <v>20</v>
      </c>
      <c r="B7" s="7">
        <v>2023</v>
      </c>
      <c r="C7" s="14">
        <v>2.5</v>
      </c>
      <c r="D7" s="14">
        <v>128.5</v>
      </c>
      <c r="E7" s="14">
        <v>35</v>
      </c>
      <c r="F7" s="14">
        <v>2.8</v>
      </c>
      <c r="G7" s="14">
        <v>125.3</v>
      </c>
      <c r="H7" s="14">
        <v>0</v>
      </c>
      <c r="I7" s="14">
        <v>0</v>
      </c>
      <c r="J7" s="14">
        <v>16</v>
      </c>
      <c r="K7" s="14">
        <v>500</v>
      </c>
      <c r="L7" s="14">
        <v>92.95</v>
      </c>
      <c r="M7" s="15"/>
      <c r="N7" s="14">
        <v>10</v>
      </c>
      <c r="O7" s="14">
        <v>20</v>
      </c>
      <c r="P7" s="14">
        <v>0</v>
      </c>
      <c r="Q7" s="14">
        <v>15</v>
      </c>
      <c r="R7" s="14">
        <v>0</v>
      </c>
      <c r="S7" s="14">
        <v>0</v>
      </c>
      <c r="T7" s="14">
        <v>5.99</v>
      </c>
      <c r="U7" s="15"/>
      <c r="V7" s="14">
        <v>1000</v>
      </c>
      <c r="W7" s="14">
        <v>0</v>
      </c>
      <c r="X7" s="14">
        <v>0</v>
      </c>
      <c r="Y7" s="14">
        <v>729.7</v>
      </c>
      <c r="Z7" s="14">
        <v>0</v>
      </c>
      <c r="AA7" s="9">
        <f t="shared" si="0"/>
        <v>2683.74</v>
      </c>
    </row>
    <row r="8" spans="1:28" ht="15.75" customHeight="1" x14ac:dyDescent="0.35">
      <c r="A8" s="7" t="s">
        <v>9</v>
      </c>
      <c r="B8" s="7">
        <v>2023</v>
      </c>
      <c r="C8" s="14">
        <v>5.5</v>
      </c>
      <c r="D8" s="14">
        <v>35.9</v>
      </c>
      <c r="E8" s="14">
        <v>46.9</v>
      </c>
      <c r="F8" s="14">
        <v>4.3499999999999996</v>
      </c>
      <c r="G8" s="14">
        <v>18.8</v>
      </c>
      <c r="H8" s="14">
        <v>1895.1</v>
      </c>
      <c r="I8" s="14">
        <v>0</v>
      </c>
      <c r="J8" s="14">
        <v>23.5</v>
      </c>
      <c r="K8" s="14">
        <v>500</v>
      </c>
      <c r="L8" s="14">
        <v>204</v>
      </c>
      <c r="M8" s="15"/>
      <c r="N8" s="14">
        <v>30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5.99</v>
      </c>
      <c r="U8" s="15"/>
      <c r="V8" s="14">
        <v>0</v>
      </c>
      <c r="W8" s="14">
        <v>0</v>
      </c>
      <c r="X8" s="14">
        <v>0</v>
      </c>
      <c r="Y8" s="14">
        <v>105</v>
      </c>
      <c r="Z8" s="14">
        <v>0</v>
      </c>
      <c r="AA8" s="9">
        <f t="shared" si="0"/>
        <v>2875.04</v>
      </c>
    </row>
    <row r="9" spans="1:28" ht="15.75" customHeight="1" x14ac:dyDescent="0.35">
      <c r="A9" s="7" t="s">
        <v>10</v>
      </c>
      <c r="B9" s="7">
        <v>2023</v>
      </c>
      <c r="C9" s="14">
        <v>15</v>
      </c>
      <c r="D9" s="14">
        <v>54.8</v>
      </c>
      <c r="E9" s="14">
        <v>61.5</v>
      </c>
      <c r="F9" s="14">
        <v>3.1</v>
      </c>
      <c r="G9" s="14">
        <v>210.41</v>
      </c>
      <c r="H9" s="14">
        <v>1005.83</v>
      </c>
      <c r="I9" s="14">
        <v>0</v>
      </c>
      <c r="J9" s="14">
        <v>17</v>
      </c>
      <c r="K9" s="14">
        <v>500</v>
      </c>
      <c r="L9" s="14">
        <v>48.8</v>
      </c>
      <c r="M9" s="15"/>
      <c r="N9" s="14">
        <v>30</v>
      </c>
      <c r="O9" s="14">
        <v>23</v>
      </c>
      <c r="P9" s="14">
        <v>0</v>
      </c>
      <c r="Q9" s="14">
        <v>25</v>
      </c>
      <c r="R9" s="14">
        <v>0</v>
      </c>
      <c r="S9" s="14">
        <v>0</v>
      </c>
      <c r="T9" s="14">
        <v>30.99</v>
      </c>
      <c r="U9" s="15"/>
      <c r="V9" s="14">
        <v>0</v>
      </c>
      <c r="W9" s="14">
        <v>0</v>
      </c>
      <c r="X9" s="14">
        <v>0</v>
      </c>
      <c r="Y9" s="14">
        <v>8.7899999999999991</v>
      </c>
      <c r="Z9" s="14">
        <v>0</v>
      </c>
      <c r="AA9" s="9">
        <f t="shared" si="0"/>
        <v>2034.22</v>
      </c>
    </row>
    <row r="10" spans="1:28" ht="15.75" customHeight="1" x14ac:dyDescent="0.35">
      <c r="A10" s="7" t="s">
        <v>11</v>
      </c>
      <c r="B10" s="7">
        <v>2023</v>
      </c>
      <c r="C10" s="14">
        <v>19.100000000000001</v>
      </c>
      <c r="D10" s="14">
        <v>82</v>
      </c>
      <c r="E10" s="14">
        <v>63.74</v>
      </c>
      <c r="F10" s="14">
        <v>7</v>
      </c>
      <c r="G10" s="14">
        <v>197</v>
      </c>
      <c r="H10" s="14">
        <v>0</v>
      </c>
      <c r="I10" s="14">
        <v>0</v>
      </c>
      <c r="J10" s="14">
        <v>49.69</v>
      </c>
      <c r="K10" s="14">
        <v>1592</v>
      </c>
      <c r="L10" s="14">
        <v>154.31</v>
      </c>
      <c r="M10" s="15"/>
      <c r="N10" s="14">
        <v>10</v>
      </c>
      <c r="O10" s="14">
        <v>0</v>
      </c>
      <c r="P10" s="14">
        <v>0</v>
      </c>
      <c r="Q10" s="14">
        <v>10</v>
      </c>
      <c r="R10" s="14">
        <v>0</v>
      </c>
      <c r="S10" s="14">
        <v>0</v>
      </c>
      <c r="T10" s="14">
        <v>5.99</v>
      </c>
      <c r="U10" s="15"/>
      <c r="V10" s="14">
        <v>0</v>
      </c>
      <c r="W10" s="14">
        <v>0</v>
      </c>
      <c r="X10" s="14">
        <v>100</v>
      </c>
      <c r="Y10" s="14">
        <v>35.4</v>
      </c>
      <c r="Z10" s="14">
        <v>0</v>
      </c>
      <c r="AA10" s="9">
        <f t="shared" si="0"/>
        <v>2326.23</v>
      </c>
    </row>
    <row r="11" spans="1:28" ht="15.75" customHeight="1" x14ac:dyDescent="0.35">
      <c r="A11" s="7" t="s">
        <v>12</v>
      </c>
      <c r="B11" s="7">
        <v>2023</v>
      </c>
      <c r="C11" s="14">
        <v>0</v>
      </c>
      <c r="D11" s="14">
        <v>89.6</v>
      </c>
      <c r="E11" s="14">
        <v>69.3</v>
      </c>
      <c r="F11" s="14">
        <v>7.25</v>
      </c>
      <c r="G11" s="14">
        <v>31</v>
      </c>
      <c r="H11" s="14">
        <v>467.08</v>
      </c>
      <c r="I11" s="14">
        <v>7.2</v>
      </c>
      <c r="J11" s="14">
        <v>15</v>
      </c>
      <c r="K11" s="14">
        <v>500</v>
      </c>
      <c r="L11" s="14">
        <v>188</v>
      </c>
      <c r="M11" s="15"/>
      <c r="N11" s="14">
        <v>30</v>
      </c>
      <c r="O11" s="14">
        <v>0</v>
      </c>
      <c r="P11" s="14">
        <v>29.5</v>
      </c>
      <c r="Q11" s="14">
        <v>77.3</v>
      </c>
      <c r="R11" s="14">
        <v>0</v>
      </c>
      <c r="S11" s="14">
        <v>0</v>
      </c>
      <c r="T11" s="14">
        <v>5.99</v>
      </c>
      <c r="U11" s="15"/>
      <c r="V11" s="14">
        <v>0</v>
      </c>
      <c r="W11" s="14">
        <v>0</v>
      </c>
      <c r="X11" s="14">
        <v>0</v>
      </c>
      <c r="Y11" s="14">
        <v>45</v>
      </c>
      <c r="Z11" s="14">
        <v>0</v>
      </c>
      <c r="AA11" s="9">
        <f t="shared" si="0"/>
        <v>1562.22</v>
      </c>
    </row>
    <row r="12" spans="1:28" ht="15.75" customHeight="1" x14ac:dyDescent="0.35">
      <c r="A12" s="7" t="s">
        <v>13</v>
      </c>
      <c r="B12" s="7">
        <v>2023</v>
      </c>
      <c r="C12" s="14">
        <v>2.2999999999999998</v>
      </c>
      <c r="D12" s="14">
        <v>92.7</v>
      </c>
      <c r="E12" s="14">
        <v>40</v>
      </c>
      <c r="F12" s="14">
        <v>25.5</v>
      </c>
      <c r="G12" s="14">
        <v>211.66</v>
      </c>
      <c r="H12" s="14">
        <v>0</v>
      </c>
      <c r="I12" s="14">
        <v>8.8000000000000007</v>
      </c>
      <c r="J12" s="14">
        <v>45.3</v>
      </c>
      <c r="K12" s="14">
        <v>500</v>
      </c>
      <c r="L12" s="14">
        <v>148.08000000000001</v>
      </c>
      <c r="M12" s="15"/>
      <c r="N12" s="14">
        <v>10</v>
      </c>
      <c r="O12" s="14">
        <v>15</v>
      </c>
      <c r="P12" s="14">
        <v>21</v>
      </c>
      <c r="Q12" s="14">
        <v>0</v>
      </c>
      <c r="R12" s="14">
        <v>0</v>
      </c>
      <c r="S12" s="14">
        <v>0</v>
      </c>
      <c r="T12" s="14">
        <v>5.99</v>
      </c>
      <c r="U12" s="15"/>
      <c r="V12" s="14">
        <v>0</v>
      </c>
      <c r="W12" s="14">
        <v>0</v>
      </c>
      <c r="X12" s="14">
        <v>0</v>
      </c>
      <c r="Y12" s="14">
        <v>127.5</v>
      </c>
      <c r="Z12" s="14">
        <v>0</v>
      </c>
      <c r="AA12" s="9">
        <f t="shared" si="0"/>
        <v>1253.83</v>
      </c>
    </row>
    <row r="13" spans="1:28" ht="15.75" customHeight="1" x14ac:dyDescent="0.35">
      <c r="A13" s="7" t="s">
        <v>14</v>
      </c>
      <c r="B13" s="7">
        <v>2023</v>
      </c>
      <c r="C13" s="14">
        <v>3</v>
      </c>
      <c r="D13" s="14">
        <v>168.2</v>
      </c>
      <c r="E13" s="14">
        <v>0</v>
      </c>
      <c r="F13" s="14">
        <v>27</v>
      </c>
      <c r="G13" s="14">
        <v>0</v>
      </c>
      <c r="H13" s="14">
        <v>585.4</v>
      </c>
      <c r="I13" s="14">
        <v>161</v>
      </c>
      <c r="J13" s="14">
        <v>8.6</v>
      </c>
      <c r="K13" s="14">
        <v>500</v>
      </c>
      <c r="L13" s="14">
        <v>186</v>
      </c>
      <c r="M13" s="15"/>
      <c r="N13" s="14">
        <v>20</v>
      </c>
      <c r="O13" s="14">
        <v>23</v>
      </c>
      <c r="P13" s="14">
        <v>0</v>
      </c>
      <c r="Q13" s="14">
        <v>314.55</v>
      </c>
      <c r="R13" s="14">
        <v>0</v>
      </c>
      <c r="S13" s="14">
        <v>0</v>
      </c>
      <c r="T13" s="14">
        <v>5.99</v>
      </c>
      <c r="U13" s="15"/>
      <c r="V13" s="14">
        <v>0</v>
      </c>
      <c r="W13" s="14">
        <v>0</v>
      </c>
      <c r="X13" s="14">
        <v>0</v>
      </c>
      <c r="Y13" s="14">
        <v>61.77</v>
      </c>
      <c r="Z13" s="14">
        <v>0</v>
      </c>
      <c r="AA13" s="9">
        <f t="shared" si="0"/>
        <v>2064.5099999999998</v>
      </c>
    </row>
    <row r="14" spans="1:28" ht="15.75" customHeight="1" x14ac:dyDescent="0.25">
      <c r="A14" s="7" t="s">
        <v>45</v>
      </c>
      <c r="B14" s="7">
        <v>2023</v>
      </c>
      <c r="C14" s="9">
        <f t="shared" ref="C14:Z14" si="1">SUM(C2:C13)</f>
        <v>65.900000000000006</v>
      </c>
      <c r="D14" s="9">
        <f t="shared" si="1"/>
        <v>1101</v>
      </c>
      <c r="E14" s="9">
        <f t="shared" si="1"/>
        <v>609.74</v>
      </c>
      <c r="F14" s="9">
        <f t="shared" si="1"/>
        <v>133.73000000000002</v>
      </c>
      <c r="G14" s="9">
        <f t="shared" si="1"/>
        <v>1660.66</v>
      </c>
      <c r="H14" s="9">
        <f t="shared" si="1"/>
        <v>5421.1699999999992</v>
      </c>
      <c r="I14" s="9">
        <f t="shared" si="1"/>
        <v>253.82999999999998</v>
      </c>
      <c r="J14" s="9">
        <f t="shared" si="1"/>
        <v>273.09000000000003</v>
      </c>
      <c r="K14" s="9">
        <f t="shared" si="1"/>
        <v>7355.97</v>
      </c>
      <c r="L14" s="9">
        <f t="shared" si="1"/>
        <v>1914.3899999999999</v>
      </c>
      <c r="M14" s="9">
        <f t="shared" si="1"/>
        <v>15.2</v>
      </c>
      <c r="N14" s="9">
        <f t="shared" si="1"/>
        <v>252</v>
      </c>
      <c r="O14" s="9">
        <f t="shared" si="1"/>
        <v>124</v>
      </c>
      <c r="P14" s="9">
        <f t="shared" si="1"/>
        <v>188.95</v>
      </c>
      <c r="Q14" s="9">
        <f t="shared" si="1"/>
        <v>641.84</v>
      </c>
      <c r="R14" s="9">
        <f t="shared" si="1"/>
        <v>0</v>
      </c>
      <c r="S14" s="9">
        <f t="shared" si="1"/>
        <v>0</v>
      </c>
      <c r="T14" s="9">
        <f t="shared" si="1"/>
        <v>66.930000000000007</v>
      </c>
      <c r="U14" s="9">
        <f t="shared" si="1"/>
        <v>0</v>
      </c>
      <c r="V14" s="9">
        <f t="shared" si="1"/>
        <v>1000</v>
      </c>
      <c r="W14" s="9">
        <f t="shared" si="1"/>
        <v>0</v>
      </c>
      <c r="X14" s="9">
        <f t="shared" si="1"/>
        <v>1700</v>
      </c>
      <c r="Y14" s="9">
        <f t="shared" si="1"/>
        <v>1266.3600000000001</v>
      </c>
      <c r="Z14" s="9">
        <f t="shared" si="1"/>
        <v>0</v>
      </c>
      <c r="AA14" s="9">
        <f t="shared" si="0"/>
        <v>24044.760000000002</v>
      </c>
    </row>
    <row r="15" spans="1:28" ht="15.75" customHeight="1" x14ac:dyDescent="0.35">
      <c r="A15" s="7" t="s">
        <v>15</v>
      </c>
      <c r="B15" s="7">
        <v>2024</v>
      </c>
      <c r="C15" s="14">
        <v>1.1000000000000001</v>
      </c>
      <c r="D15" s="14">
        <v>95.65</v>
      </c>
      <c r="E15" s="14">
        <v>62.5</v>
      </c>
      <c r="F15" s="14">
        <v>8.5</v>
      </c>
      <c r="G15" s="14">
        <v>55.38</v>
      </c>
      <c r="H15" s="14">
        <v>95</v>
      </c>
      <c r="I15" s="14">
        <v>200.07</v>
      </c>
      <c r="J15" s="14">
        <v>23.6</v>
      </c>
      <c r="K15" s="14">
        <v>500</v>
      </c>
      <c r="L15" s="14">
        <v>147</v>
      </c>
      <c r="M15" s="15"/>
      <c r="N15" s="14">
        <v>30</v>
      </c>
      <c r="O15" s="15"/>
      <c r="P15" s="15"/>
      <c r="Q15" s="14">
        <v>43.23</v>
      </c>
      <c r="R15" s="14">
        <v>0</v>
      </c>
      <c r="S15" s="14">
        <v>0</v>
      </c>
      <c r="T15" s="14">
        <v>5.99</v>
      </c>
      <c r="U15" s="15"/>
      <c r="V15" s="14">
        <v>0</v>
      </c>
      <c r="W15" s="14">
        <v>0</v>
      </c>
      <c r="X15" s="14">
        <v>624.5</v>
      </c>
      <c r="Y15" s="14">
        <v>26</v>
      </c>
      <c r="Z15" s="14">
        <v>0</v>
      </c>
      <c r="AA15" s="9">
        <f t="shared" si="0"/>
        <v>1918.5200000000002</v>
      </c>
    </row>
    <row r="16" spans="1:28" ht="15.75" customHeight="1" x14ac:dyDescent="0.35">
      <c r="A16" s="7" t="s">
        <v>16</v>
      </c>
      <c r="B16" s="7">
        <v>2024</v>
      </c>
      <c r="C16" s="14">
        <v>3.6</v>
      </c>
      <c r="D16" s="14">
        <v>127</v>
      </c>
      <c r="E16" s="14">
        <v>23</v>
      </c>
      <c r="F16" s="14">
        <v>16.399999999999999</v>
      </c>
      <c r="G16" s="14">
        <v>10</v>
      </c>
      <c r="H16" s="14">
        <v>271.07</v>
      </c>
      <c r="I16" s="14">
        <v>0</v>
      </c>
      <c r="J16" s="14">
        <v>17</v>
      </c>
      <c r="K16" s="14">
        <v>500</v>
      </c>
      <c r="L16" s="14">
        <v>162.69999999999999</v>
      </c>
      <c r="M16" s="15"/>
      <c r="N16" s="14">
        <v>20</v>
      </c>
      <c r="O16" s="14">
        <v>20</v>
      </c>
      <c r="P16" s="14">
        <v>47</v>
      </c>
      <c r="Q16" s="14">
        <v>10</v>
      </c>
      <c r="R16" s="14">
        <v>0</v>
      </c>
      <c r="S16" s="14">
        <v>0</v>
      </c>
      <c r="T16" s="14">
        <v>5.99</v>
      </c>
      <c r="U16" s="15"/>
      <c r="V16" s="14">
        <v>0</v>
      </c>
      <c r="W16" s="14">
        <v>200</v>
      </c>
      <c r="X16" s="14">
        <v>0</v>
      </c>
      <c r="Y16" s="14">
        <v>92.39</v>
      </c>
      <c r="Z16" s="14">
        <v>0</v>
      </c>
      <c r="AA16" s="9">
        <f t="shared" si="0"/>
        <v>1526.15</v>
      </c>
    </row>
    <row r="17" spans="1:27" ht="15.75" customHeight="1" x14ac:dyDescent="0.35">
      <c r="A17" s="7" t="s">
        <v>17</v>
      </c>
      <c r="B17" s="7">
        <v>2024</v>
      </c>
      <c r="C17" s="14">
        <v>8.4</v>
      </c>
      <c r="D17" s="14">
        <v>136.4</v>
      </c>
      <c r="E17" s="14">
        <v>76.400000000000006</v>
      </c>
      <c r="F17" s="14">
        <v>5.4</v>
      </c>
      <c r="G17" s="14">
        <v>374.22</v>
      </c>
      <c r="H17" s="14">
        <v>0</v>
      </c>
      <c r="I17" s="14">
        <v>0</v>
      </c>
      <c r="J17" s="14">
        <v>27</v>
      </c>
      <c r="K17" s="14">
        <v>502.5</v>
      </c>
      <c r="L17" s="14">
        <v>147.1</v>
      </c>
      <c r="M17" s="14">
        <v>0</v>
      </c>
      <c r="N17" s="14">
        <v>20</v>
      </c>
      <c r="O17" s="14">
        <v>0</v>
      </c>
      <c r="P17" s="14">
        <v>65.89</v>
      </c>
      <c r="Q17" s="14">
        <v>10</v>
      </c>
      <c r="R17" s="14">
        <v>0</v>
      </c>
      <c r="S17" s="14">
        <v>0</v>
      </c>
      <c r="T17" s="14">
        <v>5.99</v>
      </c>
      <c r="V17" s="10">
        <v>0</v>
      </c>
      <c r="W17" s="10">
        <v>100</v>
      </c>
      <c r="X17" s="10">
        <v>10</v>
      </c>
      <c r="Y17" s="10">
        <v>275</v>
      </c>
      <c r="Z17" s="10">
        <v>0</v>
      </c>
      <c r="AA17" s="9">
        <f t="shared" si="0"/>
        <v>1764.3000000000002</v>
      </c>
    </row>
    <row r="18" spans="1:27" ht="15.75" customHeight="1" x14ac:dyDescent="0.35">
      <c r="A18" s="7" t="s">
        <v>18</v>
      </c>
      <c r="B18" s="7">
        <v>2024</v>
      </c>
      <c r="C18" s="14">
        <v>3.6</v>
      </c>
      <c r="D18" s="14">
        <v>108.53</v>
      </c>
      <c r="E18" s="14">
        <v>41.8</v>
      </c>
      <c r="F18" s="14">
        <v>19.8</v>
      </c>
      <c r="G18" s="14">
        <v>83.14</v>
      </c>
      <c r="H18" s="14">
        <v>1351.46</v>
      </c>
      <c r="I18" s="14">
        <v>0</v>
      </c>
      <c r="J18" s="14">
        <v>14</v>
      </c>
      <c r="K18" s="14">
        <v>500</v>
      </c>
      <c r="L18" s="14">
        <v>121</v>
      </c>
      <c r="M18" s="15"/>
      <c r="N18" s="14">
        <v>10</v>
      </c>
      <c r="O18" s="14">
        <v>15</v>
      </c>
      <c r="P18" s="14">
        <v>0</v>
      </c>
      <c r="Q18" s="16"/>
      <c r="R18" s="14">
        <v>336.64</v>
      </c>
      <c r="S18" s="14">
        <v>325</v>
      </c>
      <c r="T18" s="14">
        <v>0</v>
      </c>
      <c r="U18" s="15"/>
      <c r="V18" s="14">
        <v>0</v>
      </c>
      <c r="W18" s="14">
        <v>200</v>
      </c>
      <c r="X18" s="14">
        <v>0</v>
      </c>
      <c r="Y18" s="14">
        <v>1020.5</v>
      </c>
      <c r="Z18" s="14">
        <v>0</v>
      </c>
      <c r="AA18" s="9">
        <f t="shared" si="0"/>
        <v>4150.4699999999993</v>
      </c>
    </row>
    <row r="19" spans="1:27" ht="15.75" customHeight="1" x14ac:dyDescent="0.35">
      <c r="A19" s="7" t="s">
        <v>19</v>
      </c>
      <c r="B19" s="7">
        <v>2024</v>
      </c>
      <c r="C19" s="14">
        <v>6.6</v>
      </c>
      <c r="D19" s="14">
        <v>98.8</v>
      </c>
      <c r="E19" s="14">
        <v>29</v>
      </c>
      <c r="F19" s="16"/>
      <c r="G19" s="14">
        <v>82.49</v>
      </c>
      <c r="H19" s="14">
        <v>0</v>
      </c>
      <c r="I19" s="14">
        <v>0</v>
      </c>
      <c r="J19" s="14">
        <v>52.5</v>
      </c>
      <c r="K19" s="14">
        <v>760.7</v>
      </c>
      <c r="L19" s="14">
        <v>145.04</v>
      </c>
      <c r="M19" s="15"/>
      <c r="N19" s="14">
        <v>20</v>
      </c>
      <c r="O19" s="14">
        <v>20</v>
      </c>
      <c r="P19" s="16"/>
      <c r="Q19" s="14">
        <v>281.5</v>
      </c>
      <c r="R19" s="14">
        <v>363.11</v>
      </c>
      <c r="S19" s="14">
        <v>0</v>
      </c>
      <c r="T19" s="14">
        <v>5.99</v>
      </c>
      <c r="U19" s="15"/>
      <c r="V19" s="14">
        <v>0</v>
      </c>
      <c r="W19" s="14">
        <v>200</v>
      </c>
      <c r="X19" s="14">
        <v>85</v>
      </c>
      <c r="Y19" s="14">
        <v>128.9</v>
      </c>
      <c r="Z19" s="14">
        <v>0</v>
      </c>
      <c r="AA19" s="9">
        <f t="shared" si="0"/>
        <v>2279.6300000000006</v>
      </c>
    </row>
    <row r="20" spans="1:27" ht="15.75" customHeight="1" x14ac:dyDescent="0.35">
      <c r="A20" s="7" t="s">
        <v>20</v>
      </c>
      <c r="B20" s="7">
        <v>2024</v>
      </c>
      <c r="C20" s="15"/>
      <c r="D20" s="14">
        <v>137.05000000000001</v>
      </c>
      <c r="E20" s="14">
        <v>0</v>
      </c>
      <c r="F20" s="15"/>
      <c r="G20" s="14">
        <v>101.34</v>
      </c>
      <c r="H20" s="14">
        <v>40.130000000000003</v>
      </c>
      <c r="I20" s="14">
        <v>0</v>
      </c>
      <c r="J20" s="14">
        <v>15.5</v>
      </c>
      <c r="K20" s="14">
        <v>500</v>
      </c>
      <c r="L20" s="14">
        <v>98.7</v>
      </c>
      <c r="M20" s="15"/>
      <c r="N20" s="14">
        <v>20</v>
      </c>
      <c r="O20" s="15"/>
      <c r="P20" s="14">
        <v>0</v>
      </c>
      <c r="Q20" s="15"/>
      <c r="R20" s="14">
        <v>257.27999999999997</v>
      </c>
      <c r="S20" s="14">
        <v>0</v>
      </c>
      <c r="T20" s="14">
        <v>16.989999999999998</v>
      </c>
      <c r="U20" s="15"/>
      <c r="V20" s="14">
        <v>0</v>
      </c>
      <c r="W20" s="14">
        <v>100</v>
      </c>
      <c r="X20" s="14">
        <v>47.29</v>
      </c>
      <c r="Y20" s="14">
        <v>76.2</v>
      </c>
      <c r="Z20" s="14">
        <v>0</v>
      </c>
      <c r="AA20" s="9">
        <f t="shared" si="0"/>
        <v>1410.48</v>
      </c>
    </row>
    <row r="21" spans="1:27" ht="15.75" customHeight="1" x14ac:dyDescent="0.35">
      <c r="A21" s="7" t="s">
        <v>9</v>
      </c>
      <c r="B21" s="7">
        <v>2024</v>
      </c>
      <c r="C21" s="15"/>
      <c r="D21" s="14">
        <v>127.5</v>
      </c>
      <c r="E21" s="14">
        <v>27</v>
      </c>
      <c r="F21" s="15"/>
      <c r="G21" s="14">
        <v>147.16</v>
      </c>
      <c r="H21" s="14">
        <v>331.8</v>
      </c>
      <c r="I21" s="14">
        <v>0</v>
      </c>
      <c r="J21" s="14">
        <v>21</v>
      </c>
      <c r="K21" s="14">
        <v>503</v>
      </c>
      <c r="L21" s="14">
        <v>153.49</v>
      </c>
      <c r="M21" s="15"/>
      <c r="N21" s="14">
        <v>30</v>
      </c>
      <c r="O21" s="14">
        <v>0</v>
      </c>
      <c r="P21" s="14">
        <v>65</v>
      </c>
      <c r="Q21" s="14">
        <v>100</v>
      </c>
      <c r="R21" s="14">
        <v>365.5</v>
      </c>
      <c r="S21" s="14">
        <v>0</v>
      </c>
      <c r="T21" s="14">
        <v>5.99</v>
      </c>
      <c r="U21" s="15"/>
      <c r="V21" s="14">
        <v>0</v>
      </c>
      <c r="W21" s="14">
        <v>100</v>
      </c>
      <c r="X21" s="14">
        <v>0</v>
      </c>
      <c r="Y21" s="14">
        <v>212.22</v>
      </c>
      <c r="Z21" s="14">
        <v>0</v>
      </c>
      <c r="AA21" s="9">
        <f t="shared" si="0"/>
        <v>2189.66</v>
      </c>
    </row>
    <row r="22" spans="1:27" ht="14.5" x14ac:dyDescent="0.35">
      <c r="A22" s="7" t="s">
        <v>10</v>
      </c>
      <c r="B22" s="7">
        <v>2024</v>
      </c>
      <c r="C22" s="14">
        <v>5.6</v>
      </c>
      <c r="D22" s="14">
        <v>56.2</v>
      </c>
      <c r="E22" s="14">
        <v>6</v>
      </c>
      <c r="F22" s="15"/>
      <c r="G22" s="14">
        <v>19.48</v>
      </c>
      <c r="H22" s="14">
        <v>341.24</v>
      </c>
      <c r="I22" s="14">
        <v>0</v>
      </c>
      <c r="J22" s="14">
        <v>10</v>
      </c>
      <c r="K22" s="14">
        <v>579</v>
      </c>
      <c r="L22" s="14">
        <v>72.489999999999995</v>
      </c>
      <c r="M22" s="15"/>
      <c r="N22" s="14">
        <v>20</v>
      </c>
      <c r="O22" s="15"/>
      <c r="P22" s="14">
        <v>0</v>
      </c>
      <c r="Q22" s="14">
        <v>40</v>
      </c>
      <c r="R22" s="14">
        <v>80.83</v>
      </c>
      <c r="S22" s="14">
        <v>0</v>
      </c>
      <c r="T22" s="14">
        <v>55.89</v>
      </c>
      <c r="U22" s="15"/>
      <c r="V22" s="14">
        <v>0</v>
      </c>
      <c r="W22" s="14">
        <v>100</v>
      </c>
      <c r="X22" s="14">
        <v>200</v>
      </c>
      <c r="Y22" s="14">
        <v>20</v>
      </c>
      <c r="Z22" s="14">
        <v>0</v>
      </c>
      <c r="AA22" s="9">
        <f t="shared" si="0"/>
        <v>1606.73</v>
      </c>
    </row>
    <row r="23" spans="1:27" ht="14.5" x14ac:dyDescent="0.35">
      <c r="A23" s="7" t="s">
        <v>11</v>
      </c>
      <c r="B23" s="7">
        <v>2024</v>
      </c>
      <c r="C23" s="15"/>
      <c r="D23" s="14">
        <v>37.299999999999997</v>
      </c>
      <c r="E23" s="14">
        <v>6.1</v>
      </c>
      <c r="F23" s="15"/>
      <c r="G23" s="14">
        <v>0</v>
      </c>
      <c r="H23" s="14">
        <v>93.98</v>
      </c>
      <c r="I23" s="14">
        <v>0</v>
      </c>
      <c r="J23" s="14">
        <v>0</v>
      </c>
      <c r="K23" s="14">
        <v>1058</v>
      </c>
      <c r="L23" s="14">
        <v>71.900000000000006</v>
      </c>
      <c r="M23" s="15"/>
      <c r="N23" s="14">
        <v>20</v>
      </c>
      <c r="O23" s="14">
        <v>0</v>
      </c>
      <c r="P23" s="14">
        <v>0</v>
      </c>
      <c r="Q23" s="15"/>
      <c r="R23" s="14">
        <v>327.29000000000002</v>
      </c>
      <c r="S23" s="14">
        <v>0</v>
      </c>
      <c r="T23" s="14">
        <v>5.99</v>
      </c>
      <c r="U23" s="15"/>
      <c r="V23" s="14">
        <v>0</v>
      </c>
      <c r="W23" s="14">
        <v>200</v>
      </c>
      <c r="X23" s="14">
        <v>0</v>
      </c>
      <c r="Y23" s="14">
        <v>0</v>
      </c>
      <c r="Z23" s="14">
        <v>0</v>
      </c>
      <c r="AA23" s="9">
        <f t="shared" si="0"/>
        <v>1820.5600000000002</v>
      </c>
    </row>
    <row r="24" spans="1:27" ht="14.5" x14ac:dyDescent="0.35">
      <c r="A24" s="7" t="s">
        <v>12</v>
      </c>
      <c r="B24" s="7">
        <v>2024</v>
      </c>
      <c r="C24" s="14">
        <v>1.2</v>
      </c>
      <c r="D24" s="14">
        <v>78</v>
      </c>
      <c r="E24" s="14">
        <v>8</v>
      </c>
      <c r="F24" s="15"/>
      <c r="G24" s="14">
        <v>125.28</v>
      </c>
      <c r="H24" s="14">
        <v>1584.26</v>
      </c>
      <c r="I24" s="14">
        <v>0</v>
      </c>
      <c r="J24" s="14">
        <v>86.48</v>
      </c>
      <c r="K24" s="14">
        <v>500</v>
      </c>
      <c r="L24" s="14">
        <v>68.989999999999995</v>
      </c>
      <c r="M24" s="15"/>
      <c r="N24" s="14">
        <v>34.799999999999997</v>
      </c>
      <c r="O24" s="14">
        <v>0</v>
      </c>
      <c r="P24" s="15"/>
      <c r="Q24" s="14">
        <v>50</v>
      </c>
      <c r="R24" s="14">
        <v>10.45</v>
      </c>
      <c r="S24" s="14">
        <v>325</v>
      </c>
      <c r="T24" s="14">
        <v>10</v>
      </c>
      <c r="U24" s="15"/>
      <c r="V24" s="14">
        <v>0</v>
      </c>
      <c r="W24" s="14">
        <v>0</v>
      </c>
      <c r="X24" s="14">
        <v>0</v>
      </c>
      <c r="Y24" s="14">
        <v>53.7</v>
      </c>
      <c r="Z24" s="14">
        <v>0</v>
      </c>
      <c r="AA24" s="9">
        <f t="shared" si="0"/>
        <v>2936.16</v>
      </c>
    </row>
    <row r="25" spans="1:27" ht="14.5" x14ac:dyDescent="0.35">
      <c r="A25" s="7" t="s">
        <v>13</v>
      </c>
      <c r="B25" s="7">
        <v>2024</v>
      </c>
      <c r="C25" s="14">
        <v>3.7</v>
      </c>
      <c r="D25" s="14">
        <v>87</v>
      </c>
      <c r="E25" s="14">
        <v>6</v>
      </c>
      <c r="F25" s="14">
        <v>16.3</v>
      </c>
      <c r="G25" s="14">
        <v>132.09</v>
      </c>
      <c r="H25" s="14">
        <v>91.85</v>
      </c>
      <c r="I25" s="14">
        <v>94.2</v>
      </c>
      <c r="J25" s="14">
        <v>38</v>
      </c>
      <c r="K25" s="14">
        <v>523</v>
      </c>
      <c r="L25" s="14">
        <v>143.5</v>
      </c>
      <c r="M25" s="15"/>
      <c r="N25" s="14">
        <v>2.2000000000000002</v>
      </c>
      <c r="O25" s="14">
        <v>18</v>
      </c>
      <c r="P25" s="15"/>
      <c r="Q25" s="14">
        <v>0</v>
      </c>
      <c r="R25" s="14">
        <v>27</v>
      </c>
      <c r="S25" s="14">
        <v>325</v>
      </c>
      <c r="T25" s="14">
        <v>5.99</v>
      </c>
      <c r="U25" s="15"/>
      <c r="V25" s="14">
        <v>0</v>
      </c>
      <c r="W25" s="14">
        <v>360</v>
      </c>
      <c r="X25" s="14">
        <v>0</v>
      </c>
      <c r="Y25" s="14">
        <v>42</v>
      </c>
      <c r="Z25" s="14">
        <v>0</v>
      </c>
      <c r="AA25" s="9">
        <f t="shared" si="0"/>
        <v>1915.83</v>
      </c>
    </row>
    <row r="26" spans="1:27" ht="14.5" x14ac:dyDescent="0.35">
      <c r="A26" s="7" t="s">
        <v>14</v>
      </c>
      <c r="B26" s="7">
        <v>2024</v>
      </c>
      <c r="C26" s="14">
        <v>2.6</v>
      </c>
      <c r="D26" s="14">
        <v>39</v>
      </c>
      <c r="E26" s="14">
        <v>0</v>
      </c>
      <c r="F26" s="15"/>
      <c r="G26" s="14">
        <v>0</v>
      </c>
      <c r="H26" s="14">
        <v>1045.83</v>
      </c>
      <c r="I26" s="14">
        <v>0</v>
      </c>
      <c r="J26" s="14">
        <v>0</v>
      </c>
      <c r="K26" s="14">
        <v>503</v>
      </c>
      <c r="L26" s="14">
        <v>82</v>
      </c>
      <c r="M26" s="15"/>
      <c r="N26" s="14">
        <v>18.8</v>
      </c>
      <c r="O26" s="14">
        <v>18</v>
      </c>
      <c r="P26" s="14">
        <v>207</v>
      </c>
      <c r="Q26" s="14">
        <v>306</v>
      </c>
      <c r="R26" s="14">
        <v>0</v>
      </c>
      <c r="S26" s="14">
        <v>162.5</v>
      </c>
      <c r="T26" s="14">
        <v>5.99</v>
      </c>
      <c r="U26" s="15"/>
      <c r="V26" s="14">
        <v>0</v>
      </c>
      <c r="W26" s="14">
        <v>100</v>
      </c>
      <c r="X26" s="14">
        <v>0</v>
      </c>
      <c r="Y26" s="14">
        <v>64.3</v>
      </c>
      <c r="Z26" s="14">
        <v>0</v>
      </c>
      <c r="AA26" s="9">
        <f t="shared" si="0"/>
        <v>2555.0199999999995</v>
      </c>
    </row>
    <row r="27" spans="1:27" ht="12.5" x14ac:dyDescent="0.25">
      <c r="A27" s="7" t="s">
        <v>45</v>
      </c>
      <c r="B27" s="7">
        <v>2024</v>
      </c>
      <c r="C27" s="9">
        <f t="shared" ref="C27:Z27" si="2">SUM(C15:C26)</f>
        <v>36.400000000000006</v>
      </c>
      <c r="D27" s="9">
        <f t="shared" si="2"/>
        <v>1128.43</v>
      </c>
      <c r="E27" s="9">
        <f t="shared" si="2"/>
        <v>285.8</v>
      </c>
      <c r="F27" s="9">
        <f t="shared" si="2"/>
        <v>66.399999999999991</v>
      </c>
      <c r="G27" s="9">
        <f t="shared" si="2"/>
        <v>1130.58</v>
      </c>
      <c r="H27" s="9">
        <f t="shared" si="2"/>
        <v>5246.62</v>
      </c>
      <c r="I27" s="9">
        <f t="shared" si="2"/>
        <v>294.27</v>
      </c>
      <c r="J27" s="9">
        <f t="shared" si="2"/>
        <v>305.08</v>
      </c>
      <c r="K27" s="9">
        <f t="shared" si="2"/>
        <v>6929.2</v>
      </c>
      <c r="L27" s="9">
        <f t="shared" si="2"/>
        <v>1413.91</v>
      </c>
      <c r="M27" s="9">
        <f t="shared" si="2"/>
        <v>0</v>
      </c>
      <c r="N27" s="9">
        <f t="shared" si="2"/>
        <v>245.8</v>
      </c>
      <c r="O27" s="9">
        <f t="shared" si="2"/>
        <v>91</v>
      </c>
      <c r="P27" s="9">
        <f t="shared" si="2"/>
        <v>384.89</v>
      </c>
      <c r="Q27" s="9">
        <f t="shared" si="2"/>
        <v>840.73</v>
      </c>
      <c r="R27" s="9">
        <f t="shared" si="2"/>
        <v>1768.1</v>
      </c>
      <c r="S27" s="9">
        <f t="shared" si="2"/>
        <v>1137.5</v>
      </c>
      <c r="T27" s="9">
        <f t="shared" si="2"/>
        <v>130.80000000000001</v>
      </c>
      <c r="U27" s="9">
        <f t="shared" si="2"/>
        <v>0</v>
      </c>
      <c r="V27" s="9">
        <f t="shared" si="2"/>
        <v>0</v>
      </c>
      <c r="W27" s="9">
        <f t="shared" si="2"/>
        <v>1660</v>
      </c>
      <c r="X27" s="9">
        <f t="shared" si="2"/>
        <v>966.79</v>
      </c>
      <c r="Y27" s="9">
        <f t="shared" si="2"/>
        <v>2011.21</v>
      </c>
      <c r="Z27" s="9">
        <f t="shared" si="2"/>
        <v>0</v>
      </c>
      <c r="AA27" s="9">
        <f t="shared" si="0"/>
        <v>26073.509999999995</v>
      </c>
    </row>
    <row r="28" spans="1:27" ht="14.5" x14ac:dyDescent="0.35">
      <c r="A28" s="7" t="s">
        <v>15</v>
      </c>
      <c r="B28" s="7">
        <v>2025</v>
      </c>
      <c r="C28" s="14">
        <v>6.7</v>
      </c>
      <c r="D28" s="14">
        <v>41</v>
      </c>
      <c r="E28" s="14">
        <v>19.5</v>
      </c>
      <c r="F28" s="14">
        <v>15</v>
      </c>
      <c r="G28" s="14">
        <v>261.5</v>
      </c>
      <c r="H28" s="14">
        <v>685.78</v>
      </c>
      <c r="I28" s="14">
        <v>0</v>
      </c>
      <c r="J28" s="14">
        <v>8</v>
      </c>
      <c r="K28" s="14">
        <v>1024</v>
      </c>
      <c r="L28" s="14">
        <v>95</v>
      </c>
      <c r="M28" s="15"/>
      <c r="N28" s="14">
        <v>11.2</v>
      </c>
      <c r="O28" s="14">
        <v>15</v>
      </c>
      <c r="P28" s="14">
        <v>273.95</v>
      </c>
      <c r="Q28" s="14">
        <v>86.45</v>
      </c>
      <c r="R28" s="14">
        <v>82.75</v>
      </c>
      <c r="S28" s="14">
        <v>325</v>
      </c>
      <c r="T28" s="14">
        <v>5.99</v>
      </c>
      <c r="U28" s="15"/>
      <c r="V28" s="14">
        <v>0</v>
      </c>
      <c r="W28" s="14">
        <v>100</v>
      </c>
      <c r="X28" s="14">
        <v>439.8</v>
      </c>
      <c r="Y28" s="14">
        <v>13.5</v>
      </c>
      <c r="Z28" s="14">
        <v>0</v>
      </c>
      <c r="AA28" s="9">
        <f t="shared" si="0"/>
        <v>3510.1199999999994</v>
      </c>
    </row>
    <row r="29" spans="1:27" ht="14.5" x14ac:dyDescent="0.35">
      <c r="A29" s="7" t="s">
        <v>16</v>
      </c>
      <c r="B29" s="7">
        <v>2025</v>
      </c>
      <c r="C29" s="14">
        <v>14.48</v>
      </c>
      <c r="D29" s="14">
        <v>80.5</v>
      </c>
      <c r="E29" s="14">
        <v>21.6</v>
      </c>
      <c r="F29" s="14">
        <v>18</v>
      </c>
      <c r="G29" s="14">
        <v>272.33</v>
      </c>
      <c r="H29" s="15"/>
      <c r="I29" s="14">
        <v>0</v>
      </c>
      <c r="J29" s="14">
        <v>46</v>
      </c>
      <c r="K29" s="14">
        <v>500</v>
      </c>
      <c r="L29" s="14">
        <v>150</v>
      </c>
      <c r="M29" s="15"/>
      <c r="N29" s="14">
        <v>18.84</v>
      </c>
      <c r="O29" s="15"/>
      <c r="P29" s="15"/>
      <c r="Q29" s="14">
        <v>74</v>
      </c>
      <c r="R29" s="14">
        <v>91.39</v>
      </c>
      <c r="S29" s="14">
        <v>325</v>
      </c>
      <c r="T29" s="14">
        <v>5.99</v>
      </c>
      <c r="U29" s="15"/>
      <c r="V29" s="14">
        <v>0</v>
      </c>
      <c r="W29" s="14">
        <v>100</v>
      </c>
      <c r="X29" s="14">
        <v>0</v>
      </c>
      <c r="Y29" s="14">
        <v>374.69</v>
      </c>
      <c r="Z29" s="14">
        <v>0</v>
      </c>
      <c r="AA29" s="9">
        <f t="shared" si="0"/>
        <v>2092.8199999999997</v>
      </c>
    </row>
    <row r="30" spans="1:27" ht="14.5" x14ac:dyDescent="0.35">
      <c r="A30" s="7" t="s">
        <v>17</v>
      </c>
      <c r="B30" s="7">
        <v>2025</v>
      </c>
      <c r="C30" s="14">
        <v>10</v>
      </c>
      <c r="D30" s="14">
        <v>71.099999999999994</v>
      </c>
      <c r="E30" s="14">
        <v>20</v>
      </c>
      <c r="F30" s="14">
        <v>24</v>
      </c>
      <c r="G30" s="14">
        <v>59.99</v>
      </c>
      <c r="H30" s="14">
        <v>168</v>
      </c>
      <c r="I30" s="14">
        <v>26.4</v>
      </c>
      <c r="J30" s="14">
        <v>0</v>
      </c>
      <c r="K30" s="14">
        <v>520</v>
      </c>
      <c r="L30" s="14">
        <v>138.97</v>
      </c>
      <c r="M30" s="14">
        <v>0</v>
      </c>
      <c r="O30" s="10">
        <v>18</v>
      </c>
      <c r="Q30" s="10">
        <v>10</v>
      </c>
      <c r="R30" s="10">
        <v>600.89</v>
      </c>
      <c r="S30" s="10">
        <v>0</v>
      </c>
      <c r="T30" s="10">
        <v>41.99</v>
      </c>
      <c r="V30" s="10">
        <v>0</v>
      </c>
      <c r="W30" s="10">
        <v>100</v>
      </c>
      <c r="X30" s="10">
        <v>0</v>
      </c>
      <c r="Y30" s="10">
        <v>93.3</v>
      </c>
      <c r="Z30" s="10">
        <v>0</v>
      </c>
      <c r="AA30" s="9">
        <f t="shared" si="0"/>
        <v>1902.6399999999999</v>
      </c>
    </row>
    <row r="31" spans="1:27" ht="14.5" x14ac:dyDescent="0.35">
      <c r="A31" s="7" t="s">
        <v>18</v>
      </c>
      <c r="B31" s="7">
        <v>2025</v>
      </c>
      <c r="C31" s="14">
        <v>11.6</v>
      </c>
      <c r="D31" s="14">
        <v>135.81</v>
      </c>
      <c r="E31" s="14">
        <v>0</v>
      </c>
      <c r="F31" s="14">
        <v>22.6</v>
      </c>
      <c r="G31" s="14">
        <v>0</v>
      </c>
      <c r="H31" s="14">
        <v>688.92</v>
      </c>
      <c r="I31" s="14">
        <v>9.1999999999999993</v>
      </c>
      <c r="J31" s="14">
        <v>522.5</v>
      </c>
      <c r="K31" s="14">
        <v>500</v>
      </c>
      <c r="L31" s="14">
        <v>105.58</v>
      </c>
      <c r="M31" s="15"/>
      <c r="N31" s="15"/>
      <c r="O31" s="14">
        <v>15</v>
      </c>
      <c r="P31" s="14">
        <v>70</v>
      </c>
      <c r="Q31" s="14">
        <v>26</v>
      </c>
      <c r="R31" s="14">
        <v>34.479999999999997</v>
      </c>
      <c r="S31" s="14">
        <v>325</v>
      </c>
      <c r="T31" s="14">
        <v>5.99</v>
      </c>
      <c r="U31" s="15"/>
      <c r="V31" s="14">
        <v>0</v>
      </c>
      <c r="W31" s="14">
        <v>100</v>
      </c>
      <c r="X31" s="14">
        <v>0</v>
      </c>
      <c r="Y31" s="14">
        <v>32.700000000000003</v>
      </c>
      <c r="Z31" s="14">
        <v>0</v>
      </c>
      <c r="AA31" s="9">
        <f t="shared" si="0"/>
        <v>2605.3799999999997</v>
      </c>
    </row>
    <row r="32" spans="1:27" ht="14.5" x14ac:dyDescent="0.35">
      <c r="A32" s="7" t="s">
        <v>19</v>
      </c>
      <c r="B32" s="7">
        <v>2025</v>
      </c>
      <c r="C32" s="14">
        <v>23</v>
      </c>
      <c r="D32" s="14">
        <v>112.75</v>
      </c>
      <c r="E32" s="14">
        <v>37.65</v>
      </c>
      <c r="F32" s="14">
        <v>43.9</v>
      </c>
      <c r="G32" s="14">
        <v>94.98</v>
      </c>
      <c r="H32" s="14">
        <v>699</v>
      </c>
      <c r="I32" s="14">
        <v>82.69</v>
      </c>
      <c r="J32" s="14">
        <v>26.5</v>
      </c>
      <c r="K32" s="14">
        <v>759.5</v>
      </c>
      <c r="L32" s="14">
        <v>202.44</v>
      </c>
      <c r="M32" s="15"/>
      <c r="N32" s="14">
        <v>20</v>
      </c>
      <c r="O32" s="15"/>
      <c r="P32" s="14">
        <v>154.97999999999999</v>
      </c>
      <c r="Q32" s="14">
        <v>23</v>
      </c>
      <c r="R32" s="14">
        <v>115.93</v>
      </c>
      <c r="S32" s="14">
        <v>325</v>
      </c>
      <c r="T32" s="14">
        <v>5.99</v>
      </c>
      <c r="U32" s="15"/>
      <c r="V32" s="14">
        <v>0</v>
      </c>
      <c r="W32" s="14">
        <v>100</v>
      </c>
      <c r="X32" s="14">
        <v>0</v>
      </c>
      <c r="Y32" s="15"/>
      <c r="Z32" s="14">
        <v>0</v>
      </c>
      <c r="AA32" s="9">
        <f t="shared" si="0"/>
        <v>2827.3099999999995</v>
      </c>
    </row>
    <row r="33" spans="1:27" ht="14.5" x14ac:dyDescent="0.35">
      <c r="A33" s="7" t="s">
        <v>20</v>
      </c>
      <c r="B33" s="7">
        <v>2025</v>
      </c>
      <c r="C33" s="14">
        <v>4.4000000000000004</v>
      </c>
      <c r="D33" s="14">
        <v>130.30000000000001</v>
      </c>
      <c r="E33" s="14">
        <v>19.5</v>
      </c>
      <c r="F33" s="14">
        <v>11.4</v>
      </c>
      <c r="G33" s="14">
        <v>74</v>
      </c>
      <c r="H33" s="14">
        <v>64.48</v>
      </c>
      <c r="I33" s="14">
        <v>0</v>
      </c>
      <c r="J33" s="14">
        <v>31</v>
      </c>
      <c r="K33" s="14">
        <v>500</v>
      </c>
      <c r="L33" s="15"/>
      <c r="M33" s="15"/>
      <c r="N33" s="14">
        <v>10</v>
      </c>
      <c r="O33" s="14">
        <v>18</v>
      </c>
      <c r="P33" s="14">
        <v>25.35</v>
      </c>
      <c r="Q33" s="15"/>
      <c r="R33" s="14">
        <v>510.17</v>
      </c>
      <c r="S33" s="14">
        <v>325</v>
      </c>
      <c r="T33" s="14">
        <v>5.99</v>
      </c>
      <c r="U33" s="15"/>
      <c r="V33" s="14">
        <v>0</v>
      </c>
      <c r="W33" s="14">
        <v>100</v>
      </c>
      <c r="X33" s="14">
        <v>0</v>
      </c>
      <c r="Y33" s="15"/>
      <c r="Z33" s="14">
        <v>0</v>
      </c>
      <c r="AA33" s="9">
        <f t="shared" si="0"/>
        <v>1829.5900000000001</v>
      </c>
    </row>
    <row r="34" spans="1:27" ht="14.5" x14ac:dyDescent="0.35">
      <c r="A34" s="7" t="s">
        <v>9</v>
      </c>
      <c r="B34" s="7">
        <v>2025</v>
      </c>
      <c r="C34" s="14">
        <v>9</v>
      </c>
      <c r="D34" s="14">
        <v>142</v>
      </c>
      <c r="E34" s="14">
        <v>0</v>
      </c>
      <c r="F34" s="14">
        <v>13.5</v>
      </c>
      <c r="G34" s="14">
        <v>224.9</v>
      </c>
      <c r="H34" s="14">
        <v>396</v>
      </c>
      <c r="I34" s="14">
        <v>209.28</v>
      </c>
      <c r="J34" s="14">
        <v>6</v>
      </c>
      <c r="K34" s="14">
        <v>501.8</v>
      </c>
      <c r="L34" s="14">
        <v>226.97</v>
      </c>
      <c r="M34" s="15"/>
      <c r="N34" s="14">
        <v>20</v>
      </c>
      <c r="O34" s="14">
        <v>18</v>
      </c>
      <c r="P34" s="15"/>
      <c r="Q34" s="15"/>
      <c r="R34" s="14">
        <v>96.01</v>
      </c>
      <c r="S34" s="14">
        <v>225</v>
      </c>
      <c r="T34" s="14">
        <v>5.99</v>
      </c>
      <c r="U34" s="15"/>
      <c r="V34" s="14">
        <v>0</v>
      </c>
      <c r="W34" s="14">
        <v>100</v>
      </c>
      <c r="X34" s="14">
        <v>0</v>
      </c>
      <c r="Y34" s="14">
        <v>414.74</v>
      </c>
      <c r="Z34" s="14">
        <v>0</v>
      </c>
      <c r="AA34" s="9">
        <f t="shared" si="0"/>
        <v>2609.1899999999996</v>
      </c>
    </row>
    <row r="35" spans="1:27" ht="14.5" x14ac:dyDescent="0.35">
      <c r="A35" s="7" t="s">
        <v>10</v>
      </c>
      <c r="B35" s="7">
        <v>2025</v>
      </c>
      <c r="C35" s="14">
        <v>13</v>
      </c>
      <c r="D35" s="14">
        <v>59</v>
      </c>
      <c r="E35" s="14">
        <v>0</v>
      </c>
      <c r="F35" s="14">
        <v>15.3</v>
      </c>
      <c r="G35" s="14">
        <v>280.5</v>
      </c>
      <c r="H35" s="14">
        <v>101.38</v>
      </c>
      <c r="I35" s="14">
        <v>0</v>
      </c>
      <c r="J35" s="14">
        <v>5</v>
      </c>
      <c r="K35" s="14">
        <v>500</v>
      </c>
      <c r="L35" s="14">
        <v>65.7</v>
      </c>
      <c r="M35" s="15"/>
      <c r="N35" s="14">
        <v>10</v>
      </c>
      <c r="O35" s="14">
        <v>25</v>
      </c>
      <c r="P35" s="14">
        <v>23</v>
      </c>
      <c r="Q35" s="14">
        <v>2.99</v>
      </c>
      <c r="R35" s="14">
        <v>38.270000000000003</v>
      </c>
      <c r="S35" s="14">
        <v>325</v>
      </c>
      <c r="T35" s="14">
        <v>55.98</v>
      </c>
      <c r="U35" s="15"/>
      <c r="V35" s="14">
        <v>0</v>
      </c>
      <c r="W35" s="14">
        <v>100</v>
      </c>
      <c r="X35" s="14">
        <v>0</v>
      </c>
      <c r="Y35" s="14">
        <v>0</v>
      </c>
      <c r="Z35" s="14">
        <v>0</v>
      </c>
      <c r="AA35" s="9">
        <f t="shared" si="0"/>
        <v>1620.1200000000001</v>
      </c>
    </row>
    <row r="36" spans="1:27" ht="14.5" x14ac:dyDescent="0.35">
      <c r="A36" s="7" t="s">
        <v>11</v>
      </c>
      <c r="B36" s="7">
        <v>2025</v>
      </c>
      <c r="C36" s="14">
        <v>9.4</v>
      </c>
      <c r="D36" s="14">
        <v>103.9</v>
      </c>
      <c r="E36" s="14">
        <v>50</v>
      </c>
      <c r="F36" s="14">
        <v>46.8</v>
      </c>
      <c r="G36" s="14">
        <v>0</v>
      </c>
      <c r="H36" s="14">
        <v>0</v>
      </c>
      <c r="I36" s="14">
        <v>0</v>
      </c>
      <c r="J36" s="14">
        <v>0</v>
      </c>
      <c r="K36" s="14">
        <v>1069</v>
      </c>
      <c r="L36" s="14">
        <v>142.29</v>
      </c>
      <c r="M36" s="15"/>
      <c r="N36" s="14">
        <v>10</v>
      </c>
      <c r="O36" s="14">
        <v>0</v>
      </c>
      <c r="P36" s="14">
        <v>36.15</v>
      </c>
      <c r="Q36" s="15"/>
      <c r="R36" s="14">
        <v>170.27</v>
      </c>
      <c r="S36" s="14">
        <v>0</v>
      </c>
      <c r="T36" s="14">
        <v>5.99</v>
      </c>
      <c r="U36" s="15"/>
      <c r="V36" s="14">
        <v>0</v>
      </c>
      <c r="W36" s="14">
        <v>100</v>
      </c>
      <c r="X36" s="14">
        <v>464.69</v>
      </c>
      <c r="Y36" s="14">
        <v>1108.3399999999999</v>
      </c>
      <c r="Z36" s="14">
        <v>0</v>
      </c>
      <c r="AA36" s="9">
        <f t="shared" si="0"/>
        <v>3316.83</v>
      </c>
    </row>
    <row r="37" spans="1:27" ht="14.5" x14ac:dyDescent="0.35">
      <c r="A37" s="7" t="s">
        <v>12</v>
      </c>
      <c r="B37" s="7">
        <v>2025</v>
      </c>
      <c r="C37" s="15"/>
      <c r="D37" s="14">
        <v>112.6</v>
      </c>
      <c r="E37" s="14">
        <v>12</v>
      </c>
      <c r="F37" s="14">
        <v>4.8</v>
      </c>
      <c r="G37" s="14">
        <v>54.9</v>
      </c>
      <c r="H37" s="14">
        <v>1606.26</v>
      </c>
      <c r="I37" s="14">
        <v>0</v>
      </c>
      <c r="J37" s="14">
        <v>6</v>
      </c>
      <c r="K37" s="14">
        <v>500</v>
      </c>
      <c r="L37" s="14">
        <v>149.69999999999999</v>
      </c>
      <c r="M37" s="15"/>
      <c r="N37" s="14">
        <v>10</v>
      </c>
      <c r="O37" s="14">
        <v>21</v>
      </c>
      <c r="P37" s="14">
        <v>4</v>
      </c>
      <c r="Q37" s="14">
        <v>67.099999999999994</v>
      </c>
      <c r="R37" s="14">
        <v>396.17</v>
      </c>
      <c r="S37" s="14">
        <v>325</v>
      </c>
      <c r="T37" s="14">
        <v>5.99</v>
      </c>
      <c r="U37" s="15"/>
      <c r="V37" s="14">
        <v>0</v>
      </c>
      <c r="W37" s="14">
        <v>100</v>
      </c>
      <c r="X37" s="14">
        <v>51.5</v>
      </c>
      <c r="Y37" s="14">
        <v>0</v>
      </c>
      <c r="Z37" s="14">
        <v>0</v>
      </c>
      <c r="AA37" s="9">
        <f t="shared" si="0"/>
        <v>3427.0199999999995</v>
      </c>
    </row>
    <row r="38" spans="1:27" ht="14.5" x14ac:dyDescent="0.35">
      <c r="A38" s="7" t="s">
        <v>13</v>
      </c>
      <c r="B38" s="7">
        <v>2025</v>
      </c>
      <c r="C38" s="15"/>
      <c r="D38" s="14">
        <v>81.37</v>
      </c>
      <c r="E38" s="14">
        <v>0</v>
      </c>
      <c r="F38" s="14">
        <v>10.62</v>
      </c>
      <c r="G38" s="14">
        <v>96.55</v>
      </c>
      <c r="H38" s="14">
        <v>0</v>
      </c>
      <c r="I38" s="14">
        <v>0</v>
      </c>
      <c r="J38" s="14">
        <v>5</v>
      </c>
      <c r="K38" s="14">
        <v>500</v>
      </c>
      <c r="L38" s="14">
        <v>76.5</v>
      </c>
      <c r="M38" s="15"/>
      <c r="N38" s="14">
        <v>10</v>
      </c>
      <c r="O38" s="14">
        <v>20</v>
      </c>
      <c r="P38" s="15"/>
      <c r="Q38" s="14">
        <v>39.200000000000003</v>
      </c>
      <c r="R38" s="14">
        <v>0</v>
      </c>
      <c r="S38" s="14">
        <v>325</v>
      </c>
      <c r="T38" s="14">
        <v>5.99</v>
      </c>
      <c r="U38" s="15"/>
      <c r="V38" s="14">
        <v>0</v>
      </c>
      <c r="W38" s="14">
        <v>100</v>
      </c>
      <c r="X38" s="14">
        <v>47.85</v>
      </c>
      <c r="Y38" s="14">
        <v>82.7</v>
      </c>
      <c r="Z38" s="14">
        <v>0</v>
      </c>
      <c r="AA38" s="9">
        <f t="shared" si="0"/>
        <v>1400.78</v>
      </c>
    </row>
    <row r="39" spans="1:27" ht="14.5" x14ac:dyDescent="0.35">
      <c r="A39" s="7" t="s">
        <v>14</v>
      </c>
      <c r="B39" s="7">
        <v>2025</v>
      </c>
      <c r="C39" s="14">
        <v>3.2</v>
      </c>
      <c r="D39" s="14">
        <v>161.5</v>
      </c>
      <c r="E39" s="14">
        <v>0</v>
      </c>
      <c r="F39" s="14">
        <v>9</v>
      </c>
      <c r="G39" s="14">
        <v>37</v>
      </c>
      <c r="H39" s="14">
        <v>362.4</v>
      </c>
      <c r="I39" s="14">
        <v>112.3</v>
      </c>
      <c r="J39" s="14">
        <v>7</v>
      </c>
      <c r="K39" s="14">
        <v>500</v>
      </c>
      <c r="L39" s="14">
        <v>236.05</v>
      </c>
      <c r="M39" s="15"/>
      <c r="N39" s="14">
        <v>22.84</v>
      </c>
      <c r="O39" s="14">
        <v>18</v>
      </c>
      <c r="P39" s="14">
        <v>220</v>
      </c>
      <c r="Q39" s="14">
        <v>148.9</v>
      </c>
      <c r="R39" s="14">
        <v>48.97</v>
      </c>
      <c r="S39" s="14">
        <v>325</v>
      </c>
      <c r="T39" s="14">
        <v>5.99</v>
      </c>
      <c r="U39" s="15"/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9">
        <f t="shared" si="0"/>
        <v>2218.1499999999996</v>
      </c>
    </row>
    <row r="40" spans="1:27" ht="12.5" x14ac:dyDescent="0.25">
      <c r="A40" s="7" t="s">
        <v>45</v>
      </c>
      <c r="B40" s="7">
        <v>2025</v>
      </c>
      <c r="C40" s="9">
        <f t="shared" ref="C40:Z40" si="3">SUM(C28:C39)</f>
        <v>104.78000000000002</v>
      </c>
      <c r="D40" s="9">
        <f t="shared" si="3"/>
        <v>1231.83</v>
      </c>
      <c r="E40" s="9">
        <f t="shared" si="3"/>
        <v>180.25</v>
      </c>
      <c r="F40" s="9">
        <f t="shared" si="3"/>
        <v>234.92000000000002</v>
      </c>
      <c r="G40" s="9">
        <f t="shared" si="3"/>
        <v>1456.6499999999999</v>
      </c>
      <c r="H40" s="9">
        <f t="shared" si="3"/>
        <v>4772.2199999999993</v>
      </c>
      <c r="I40" s="9">
        <f t="shared" si="3"/>
        <v>439.87</v>
      </c>
      <c r="J40" s="9">
        <f t="shared" si="3"/>
        <v>663</v>
      </c>
      <c r="K40" s="9">
        <f t="shared" si="3"/>
        <v>7374.3</v>
      </c>
      <c r="L40" s="9">
        <f t="shared" si="3"/>
        <v>1589.2</v>
      </c>
      <c r="M40" s="9">
        <f t="shared" si="3"/>
        <v>0</v>
      </c>
      <c r="N40" s="9">
        <f t="shared" si="3"/>
        <v>142.88</v>
      </c>
      <c r="O40" s="9">
        <f t="shared" si="3"/>
        <v>168</v>
      </c>
      <c r="P40" s="9">
        <f t="shared" si="3"/>
        <v>807.43</v>
      </c>
      <c r="Q40" s="9">
        <f t="shared" si="3"/>
        <v>477.64</v>
      </c>
      <c r="R40" s="9">
        <f t="shared" si="3"/>
        <v>2185.2999999999997</v>
      </c>
      <c r="S40" s="9">
        <f t="shared" si="3"/>
        <v>3150</v>
      </c>
      <c r="T40" s="9">
        <f t="shared" si="3"/>
        <v>157.87000000000003</v>
      </c>
      <c r="U40" s="9">
        <f t="shared" si="3"/>
        <v>0</v>
      </c>
      <c r="V40" s="9">
        <f t="shared" si="3"/>
        <v>0</v>
      </c>
      <c r="W40" s="9">
        <f t="shared" si="3"/>
        <v>1100</v>
      </c>
      <c r="X40" s="9">
        <f t="shared" si="3"/>
        <v>1003.84</v>
      </c>
      <c r="Y40" s="9">
        <f t="shared" si="3"/>
        <v>2119.9699999999998</v>
      </c>
      <c r="Z40" s="9">
        <f t="shared" si="3"/>
        <v>0</v>
      </c>
      <c r="AA40" s="9">
        <f t="shared" si="0"/>
        <v>29359.95</v>
      </c>
    </row>
    <row r="41" spans="1:27" ht="14.5" x14ac:dyDescent="0.35">
      <c r="A41" s="7" t="s">
        <v>15</v>
      </c>
      <c r="B41" s="7">
        <v>2026</v>
      </c>
      <c r="C41" s="14">
        <v>7</v>
      </c>
      <c r="D41" s="14">
        <v>68</v>
      </c>
      <c r="E41" s="14">
        <v>15</v>
      </c>
      <c r="F41" s="14">
        <v>9.6</v>
      </c>
      <c r="G41" s="14">
        <v>10.95</v>
      </c>
      <c r="H41" s="14">
        <v>606.47</v>
      </c>
      <c r="I41" s="14">
        <v>0</v>
      </c>
      <c r="J41" s="14">
        <v>69</v>
      </c>
      <c r="K41" s="14">
        <v>500</v>
      </c>
      <c r="L41" s="14">
        <v>72.55</v>
      </c>
      <c r="M41" s="15"/>
      <c r="N41" s="14">
        <v>20</v>
      </c>
      <c r="O41" s="15"/>
      <c r="P41" s="15"/>
      <c r="Q41" s="16">
        <v>21.99</v>
      </c>
      <c r="R41" s="14">
        <v>1.83</v>
      </c>
      <c r="S41" s="14">
        <v>325</v>
      </c>
      <c r="T41" s="14">
        <v>5.99</v>
      </c>
      <c r="U41" s="15"/>
      <c r="V41" s="14">
        <v>0</v>
      </c>
      <c r="W41" s="14">
        <v>100</v>
      </c>
      <c r="X41" s="14">
        <v>0</v>
      </c>
      <c r="Y41" s="14">
        <v>0</v>
      </c>
      <c r="Z41" s="14">
        <v>0</v>
      </c>
      <c r="AA41" s="9">
        <f t="shared" si="0"/>
        <v>1833.3799999999999</v>
      </c>
    </row>
    <row r="42" spans="1:27" ht="14.5" x14ac:dyDescent="0.35">
      <c r="A42" s="7" t="s">
        <v>16</v>
      </c>
      <c r="B42" s="7">
        <v>2026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9">
        <f t="shared" si="0"/>
        <v>0</v>
      </c>
    </row>
    <row r="43" spans="1:27" ht="14.5" x14ac:dyDescent="0.35">
      <c r="A43" s="7" t="s">
        <v>17</v>
      </c>
      <c r="B43" s="7">
        <v>2026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9">
        <f t="shared" si="0"/>
        <v>0</v>
      </c>
    </row>
    <row r="44" spans="1:27" ht="14.5" x14ac:dyDescent="0.35">
      <c r="A44" s="7" t="s">
        <v>18</v>
      </c>
      <c r="B44" s="7">
        <v>2026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9">
        <f t="shared" si="0"/>
        <v>0</v>
      </c>
    </row>
    <row r="45" spans="1:27" ht="14.5" x14ac:dyDescent="0.35">
      <c r="A45" s="7" t="s">
        <v>19</v>
      </c>
      <c r="B45" s="7">
        <v>2026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9">
        <f t="shared" si="0"/>
        <v>0</v>
      </c>
    </row>
    <row r="46" spans="1:27" ht="14.5" x14ac:dyDescent="0.35">
      <c r="A46" s="7" t="s">
        <v>20</v>
      </c>
      <c r="B46" s="7">
        <v>2026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9">
        <f t="shared" si="0"/>
        <v>0</v>
      </c>
    </row>
    <row r="47" spans="1:27" ht="14.5" x14ac:dyDescent="0.35">
      <c r="A47" s="7" t="s">
        <v>9</v>
      </c>
      <c r="B47" s="7">
        <v>2026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9">
        <f t="shared" si="0"/>
        <v>0</v>
      </c>
    </row>
    <row r="48" spans="1:27" ht="14.5" x14ac:dyDescent="0.35">
      <c r="A48" s="7" t="s">
        <v>10</v>
      </c>
      <c r="B48" s="7">
        <v>2026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9">
        <f t="shared" si="0"/>
        <v>0</v>
      </c>
    </row>
    <row r="49" spans="1:27" ht="14.5" x14ac:dyDescent="0.35">
      <c r="A49" s="7" t="s">
        <v>11</v>
      </c>
      <c r="B49" s="7">
        <v>2026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9">
        <f t="shared" si="0"/>
        <v>0</v>
      </c>
    </row>
    <row r="50" spans="1:27" ht="14.5" x14ac:dyDescent="0.35">
      <c r="A50" s="7" t="s">
        <v>12</v>
      </c>
      <c r="B50" s="7">
        <v>2026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9">
        <f t="shared" si="0"/>
        <v>0</v>
      </c>
    </row>
    <row r="51" spans="1:27" ht="14.5" x14ac:dyDescent="0.35">
      <c r="A51" s="7" t="s">
        <v>13</v>
      </c>
      <c r="B51" s="7">
        <v>2026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9">
        <f t="shared" si="0"/>
        <v>0</v>
      </c>
    </row>
    <row r="52" spans="1:27" ht="14.5" x14ac:dyDescent="0.35">
      <c r="A52" s="7" t="s">
        <v>14</v>
      </c>
      <c r="B52" s="7">
        <v>2026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9">
        <f t="shared" si="0"/>
        <v>0</v>
      </c>
    </row>
    <row r="53" spans="1:27" ht="12.5" x14ac:dyDescent="0.25">
      <c r="A53" s="7" t="s">
        <v>45</v>
      </c>
      <c r="B53" s="7">
        <v>2026</v>
      </c>
      <c r="C53" s="9">
        <f t="shared" ref="C53:Z53" si="4">SUM(C41:C52)</f>
        <v>7</v>
      </c>
      <c r="D53" s="9">
        <f t="shared" si="4"/>
        <v>68</v>
      </c>
      <c r="E53" s="9">
        <f t="shared" si="4"/>
        <v>15</v>
      </c>
      <c r="F53" s="9">
        <f t="shared" si="4"/>
        <v>9.6</v>
      </c>
      <c r="G53" s="9">
        <f t="shared" si="4"/>
        <v>10.95</v>
      </c>
      <c r="H53" s="9">
        <f t="shared" si="4"/>
        <v>606.47</v>
      </c>
      <c r="I53" s="9">
        <f t="shared" si="4"/>
        <v>0</v>
      </c>
      <c r="J53" s="9">
        <f t="shared" si="4"/>
        <v>69</v>
      </c>
      <c r="K53" s="9">
        <f t="shared" si="4"/>
        <v>500</v>
      </c>
      <c r="L53" s="9">
        <f t="shared" si="4"/>
        <v>72.55</v>
      </c>
      <c r="M53" s="9">
        <f t="shared" si="4"/>
        <v>0</v>
      </c>
      <c r="N53" s="9">
        <f t="shared" si="4"/>
        <v>20</v>
      </c>
      <c r="O53" s="9">
        <f t="shared" si="4"/>
        <v>0</v>
      </c>
      <c r="P53" s="9">
        <f t="shared" si="4"/>
        <v>0</v>
      </c>
      <c r="Q53" s="9">
        <f t="shared" si="4"/>
        <v>21.99</v>
      </c>
      <c r="R53" s="9">
        <f t="shared" si="4"/>
        <v>1.83</v>
      </c>
      <c r="S53" s="9">
        <f t="shared" si="4"/>
        <v>325</v>
      </c>
      <c r="T53" s="9">
        <f t="shared" si="4"/>
        <v>5.99</v>
      </c>
      <c r="U53" s="9">
        <f t="shared" si="4"/>
        <v>0</v>
      </c>
      <c r="V53" s="9">
        <f t="shared" si="4"/>
        <v>0</v>
      </c>
      <c r="W53" s="9">
        <f t="shared" si="4"/>
        <v>100</v>
      </c>
      <c r="X53" s="9">
        <f t="shared" si="4"/>
        <v>0</v>
      </c>
      <c r="Y53" s="9">
        <f t="shared" si="4"/>
        <v>0</v>
      </c>
      <c r="Z53" s="9">
        <f t="shared" si="4"/>
        <v>0</v>
      </c>
      <c r="AA53" s="9">
        <f t="shared" si="0"/>
        <v>1833.3799999999999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53"/>
  <sheetViews>
    <sheetView workbookViewId="0"/>
  </sheetViews>
  <sheetFormatPr defaultColWidth="12.6328125" defaultRowHeight="15.75" customHeight="1" x14ac:dyDescent="0.25"/>
  <cols>
    <col min="1" max="1" width="9.6328125" customWidth="1"/>
    <col min="2" max="2" width="5.90625" customWidth="1"/>
    <col min="3" max="3" width="10.6328125" customWidth="1"/>
    <col min="4" max="4" width="10.08984375" customWidth="1"/>
    <col min="5" max="5" width="7.08984375" customWidth="1"/>
    <col min="6" max="6" width="8.08984375" customWidth="1"/>
    <col min="7" max="7" width="9.6328125" customWidth="1"/>
    <col min="8" max="8" width="8.08984375" customWidth="1"/>
    <col min="9" max="9" width="10.6328125" customWidth="1"/>
    <col min="10" max="10" width="9.6328125" customWidth="1"/>
  </cols>
  <sheetData>
    <row r="1" spans="1:28" ht="15.75" customHeight="1" x14ac:dyDescent="0.35">
      <c r="A1" s="7" t="s">
        <v>1</v>
      </c>
      <c r="B1" s="7" t="s">
        <v>0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35</v>
      </c>
      <c r="I1" s="13" t="s">
        <v>44</v>
      </c>
      <c r="J1" s="13" t="s">
        <v>51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  <c r="W1" s="12"/>
      <c r="X1" s="12"/>
      <c r="Y1" s="12"/>
      <c r="Z1" s="12"/>
      <c r="AA1" s="13"/>
      <c r="AB1" s="13"/>
    </row>
    <row r="2" spans="1:28" ht="15.75" customHeight="1" x14ac:dyDescent="0.35">
      <c r="A2" s="7" t="s">
        <v>15</v>
      </c>
      <c r="B2" s="7">
        <v>2023</v>
      </c>
      <c r="C2" s="17">
        <v>2456</v>
      </c>
      <c r="D2" s="17">
        <v>75</v>
      </c>
      <c r="E2" s="15"/>
      <c r="F2" s="15"/>
      <c r="G2" s="17">
        <v>150</v>
      </c>
      <c r="H2" s="17">
        <v>20</v>
      </c>
      <c r="I2" s="8">
        <f t="shared" ref="I2:I13" si="0">SUM(C2:H2)</f>
        <v>2701</v>
      </c>
      <c r="J2" s="8">
        <f>2701-148.04</f>
        <v>2552.96</v>
      </c>
      <c r="K2" s="8"/>
      <c r="L2" s="8"/>
      <c r="M2" s="15"/>
      <c r="N2" s="8"/>
      <c r="O2" s="15"/>
      <c r="P2" s="15"/>
      <c r="Q2" s="8"/>
      <c r="R2" s="8"/>
      <c r="S2" s="8"/>
      <c r="T2" s="8"/>
      <c r="U2" s="15"/>
      <c r="V2" s="8"/>
      <c r="W2" s="8"/>
      <c r="X2" s="8"/>
      <c r="Y2" s="8"/>
      <c r="Z2" s="8"/>
      <c r="AB2" s="8"/>
    </row>
    <row r="3" spans="1:28" ht="15.75" customHeight="1" x14ac:dyDescent="0.35">
      <c r="A3" s="7" t="s">
        <v>16</v>
      </c>
      <c r="B3" s="7">
        <v>2023</v>
      </c>
      <c r="C3" s="17">
        <v>1790</v>
      </c>
      <c r="D3" s="17">
        <v>30</v>
      </c>
      <c r="E3" s="15"/>
      <c r="F3" s="15"/>
      <c r="G3" s="17">
        <v>200</v>
      </c>
      <c r="H3" s="17">
        <v>0</v>
      </c>
      <c r="I3" s="8">
        <f t="shared" si="0"/>
        <v>2020</v>
      </c>
      <c r="J3" s="8">
        <f>J2+I3-SPESE!AA3</f>
        <v>743.48</v>
      </c>
      <c r="K3" s="8"/>
      <c r="L3" s="8"/>
      <c r="M3" s="15"/>
      <c r="N3" s="8"/>
      <c r="O3" s="8"/>
      <c r="P3" s="8"/>
      <c r="Q3" s="8"/>
      <c r="R3" s="8"/>
      <c r="S3" s="8"/>
      <c r="T3" s="8"/>
      <c r="U3" s="15"/>
      <c r="V3" s="8"/>
      <c r="W3" s="8"/>
      <c r="X3" s="8"/>
      <c r="Y3" s="8"/>
      <c r="Z3" s="8"/>
    </row>
    <row r="4" spans="1:28" ht="15.75" customHeight="1" x14ac:dyDescent="0.35">
      <c r="A4" s="7" t="s">
        <v>17</v>
      </c>
      <c r="B4" s="7">
        <v>2023</v>
      </c>
      <c r="C4" s="17">
        <v>1715</v>
      </c>
      <c r="D4" s="17">
        <v>45</v>
      </c>
      <c r="E4" s="15"/>
      <c r="F4" s="15"/>
      <c r="G4" s="17">
        <v>150</v>
      </c>
      <c r="H4" s="17">
        <v>171.5</v>
      </c>
      <c r="I4" s="8">
        <f t="shared" si="0"/>
        <v>2081.5</v>
      </c>
      <c r="J4" s="8">
        <f>J3+I4-SPESE!AA4</f>
        <v>1750.69</v>
      </c>
      <c r="K4" s="8"/>
      <c r="L4" s="8"/>
      <c r="M4" s="8"/>
      <c r="N4" s="8"/>
      <c r="O4" s="8"/>
      <c r="P4" s="8"/>
      <c r="Q4" s="8"/>
      <c r="R4" s="8"/>
      <c r="S4" s="8"/>
      <c r="T4" s="8"/>
      <c r="U4" s="15"/>
      <c r="V4" s="8"/>
      <c r="W4" s="8"/>
      <c r="X4" s="8"/>
      <c r="Y4" s="8"/>
      <c r="Z4" s="8"/>
    </row>
    <row r="5" spans="1:28" ht="15.75" customHeight="1" x14ac:dyDescent="0.35">
      <c r="A5" s="7" t="s">
        <v>18</v>
      </c>
      <c r="B5" s="7">
        <v>2023</v>
      </c>
      <c r="C5" s="17">
        <v>1697.97</v>
      </c>
      <c r="D5" s="17">
        <v>190</v>
      </c>
      <c r="E5" s="15"/>
      <c r="F5" s="15"/>
      <c r="G5" s="17">
        <v>150</v>
      </c>
      <c r="H5" s="17">
        <v>57.2</v>
      </c>
      <c r="I5" s="8">
        <f t="shared" si="0"/>
        <v>2095.17</v>
      </c>
      <c r="J5" s="8">
        <f>J4+I5-SPESE!AA5</f>
        <v>2444.1800000000003</v>
      </c>
      <c r="K5" s="8"/>
      <c r="L5" s="8"/>
      <c r="M5" s="15"/>
      <c r="N5" s="8"/>
      <c r="O5" s="8"/>
      <c r="P5" s="8"/>
      <c r="Q5" s="8"/>
      <c r="R5" s="8"/>
      <c r="S5" s="8"/>
      <c r="T5" s="8"/>
      <c r="U5" s="15"/>
      <c r="V5" s="8"/>
      <c r="W5" s="8"/>
      <c r="X5" s="8"/>
      <c r="Y5" s="8"/>
      <c r="Z5" s="8"/>
    </row>
    <row r="6" spans="1:28" ht="15.75" customHeight="1" x14ac:dyDescent="0.35">
      <c r="A6" s="7" t="s">
        <v>19</v>
      </c>
      <c r="B6" s="7">
        <v>2023</v>
      </c>
      <c r="C6" s="17">
        <v>1968.3</v>
      </c>
      <c r="D6" s="17">
        <v>60</v>
      </c>
      <c r="E6" s="15"/>
      <c r="F6" s="15"/>
      <c r="G6" s="17">
        <v>130</v>
      </c>
      <c r="H6" s="17">
        <v>0</v>
      </c>
      <c r="I6" s="8">
        <f t="shared" si="0"/>
        <v>2158.3000000000002</v>
      </c>
      <c r="J6" s="8">
        <f>J5+I6-SPESE!AA6</f>
        <v>3411.1100000000006</v>
      </c>
      <c r="K6" s="8"/>
      <c r="L6" s="8"/>
      <c r="M6" s="15"/>
      <c r="N6" s="8"/>
      <c r="O6" s="8"/>
      <c r="P6" s="8"/>
      <c r="Q6" s="8"/>
      <c r="R6" s="8"/>
      <c r="S6" s="8"/>
      <c r="T6" s="8"/>
      <c r="U6" s="15"/>
      <c r="V6" s="8"/>
      <c r="W6" s="8"/>
      <c r="X6" s="8"/>
      <c r="Y6" s="8"/>
      <c r="Z6" s="8"/>
    </row>
    <row r="7" spans="1:28" ht="15.75" customHeight="1" x14ac:dyDescent="0.35">
      <c r="A7" s="7" t="s">
        <v>20</v>
      </c>
      <c r="B7" s="7">
        <v>2023</v>
      </c>
      <c r="C7" s="17">
        <v>1854.7</v>
      </c>
      <c r="D7" s="17">
        <v>120</v>
      </c>
      <c r="E7" s="15"/>
      <c r="F7" s="15"/>
      <c r="G7" s="17">
        <v>350</v>
      </c>
      <c r="H7" s="17">
        <v>0</v>
      </c>
      <c r="I7" s="8">
        <f t="shared" si="0"/>
        <v>2324.6999999999998</v>
      </c>
      <c r="J7" s="8">
        <f>J6+I7-SPESE!AA7</f>
        <v>3052.0700000000006</v>
      </c>
      <c r="K7" s="8"/>
      <c r="L7" s="8"/>
      <c r="M7" s="15"/>
      <c r="N7" s="8"/>
      <c r="O7" s="8"/>
      <c r="P7" s="8"/>
      <c r="Q7" s="8"/>
      <c r="R7" s="8"/>
      <c r="S7" s="8"/>
      <c r="T7" s="8"/>
      <c r="U7" s="15"/>
      <c r="V7" s="8"/>
      <c r="W7" s="8"/>
      <c r="X7" s="8"/>
      <c r="Y7" s="8"/>
      <c r="Z7" s="8"/>
    </row>
    <row r="8" spans="1:28" ht="15.75" customHeight="1" x14ac:dyDescent="0.35">
      <c r="A8" s="7" t="s">
        <v>9</v>
      </c>
      <c r="B8" s="7">
        <v>2023</v>
      </c>
      <c r="C8" s="17">
        <v>1778.87</v>
      </c>
      <c r="D8" s="17">
        <v>120</v>
      </c>
      <c r="E8" s="15"/>
      <c r="F8" s="15"/>
      <c r="G8" s="17">
        <v>391.39</v>
      </c>
      <c r="H8" s="17">
        <v>150</v>
      </c>
      <c r="I8" s="8">
        <f t="shared" si="0"/>
        <v>2440.2599999999998</v>
      </c>
      <c r="J8" s="8">
        <f>J7+I8-SPESE!AA8</f>
        <v>2617.29</v>
      </c>
      <c r="K8" s="8"/>
      <c r="L8" s="8"/>
      <c r="M8" s="15"/>
      <c r="N8" s="8"/>
      <c r="O8" s="8"/>
      <c r="P8" s="8"/>
      <c r="Q8" s="8"/>
      <c r="R8" s="8"/>
      <c r="S8" s="8"/>
      <c r="T8" s="8"/>
      <c r="U8" s="15"/>
      <c r="V8" s="8"/>
      <c r="W8" s="8"/>
      <c r="X8" s="8"/>
      <c r="Y8" s="8"/>
      <c r="Z8" s="8"/>
    </row>
    <row r="9" spans="1:28" ht="15.75" customHeight="1" x14ac:dyDescent="0.35">
      <c r="A9" s="7" t="s">
        <v>10</v>
      </c>
      <c r="B9" s="7">
        <v>2023</v>
      </c>
      <c r="C9" s="17">
        <v>1758.9</v>
      </c>
      <c r="D9" s="17">
        <v>90</v>
      </c>
      <c r="E9" s="15"/>
      <c r="F9" s="15"/>
      <c r="G9" s="17">
        <v>0</v>
      </c>
      <c r="H9" s="17">
        <v>0</v>
      </c>
      <c r="I9" s="8">
        <f t="shared" si="0"/>
        <v>1848.9</v>
      </c>
      <c r="J9" s="8">
        <f>J8+I9-SPESE!AA9</f>
        <v>2431.9700000000003</v>
      </c>
      <c r="K9" s="8"/>
      <c r="L9" s="8"/>
      <c r="M9" s="15"/>
      <c r="N9" s="8"/>
      <c r="O9" s="8"/>
      <c r="P9" s="8"/>
      <c r="Q9" s="8"/>
      <c r="R9" s="8"/>
      <c r="S9" s="8"/>
      <c r="T9" s="8"/>
      <c r="U9" s="15"/>
      <c r="V9" s="8"/>
      <c r="W9" s="8"/>
      <c r="X9" s="8"/>
      <c r="Y9" s="8"/>
      <c r="Z9" s="8"/>
    </row>
    <row r="10" spans="1:28" ht="15.75" customHeight="1" x14ac:dyDescent="0.35">
      <c r="A10" s="7" t="s">
        <v>11</v>
      </c>
      <c r="B10" s="7">
        <v>2023</v>
      </c>
      <c r="C10" s="17">
        <v>1793.2</v>
      </c>
      <c r="D10" s="17">
        <v>0</v>
      </c>
      <c r="E10" s="15"/>
      <c r="F10" s="15"/>
      <c r="G10" s="17">
        <v>41.9</v>
      </c>
      <c r="H10" s="17">
        <v>0</v>
      </c>
      <c r="I10" s="8">
        <f t="shared" si="0"/>
        <v>1835.1000000000001</v>
      </c>
      <c r="J10" s="8">
        <f>J9+I10-SPESE!AA10</f>
        <v>1940.8400000000006</v>
      </c>
      <c r="K10" s="8"/>
      <c r="L10" s="8"/>
      <c r="M10" s="15"/>
      <c r="N10" s="8"/>
      <c r="O10" s="8"/>
      <c r="P10" s="8"/>
      <c r="Q10" s="8"/>
      <c r="R10" s="8"/>
      <c r="S10" s="8"/>
      <c r="T10" s="8"/>
      <c r="U10" s="15"/>
      <c r="V10" s="8"/>
      <c r="W10" s="8"/>
      <c r="X10" s="8"/>
      <c r="Y10" s="8"/>
      <c r="Z10" s="8"/>
    </row>
    <row r="11" spans="1:28" ht="15.75" customHeight="1" x14ac:dyDescent="0.35">
      <c r="A11" s="7" t="s">
        <v>12</v>
      </c>
      <c r="B11" s="7">
        <v>2023</v>
      </c>
      <c r="C11" s="17">
        <v>1787</v>
      </c>
      <c r="D11" s="17">
        <v>30</v>
      </c>
      <c r="E11" s="15"/>
      <c r="F11" s="15"/>
      <c r="G11" s="15"/>
      <c r="H11" s="17">
        <v>0</v>
      </c>
      <c r="I11" s="8">
        <f t="shared" si="0"/>
        <v>1817</v>
      </c>
      <c r="J11" s="8">
        <f>J10+I11-SPESE!AA11</f>
        <v>2195.6200000000008</v>
      </c>
      <c r="K11" s="8"/>
      <c r="L11" s="8"/>
      <c r="M11" s="15"/>
      <c r="N11" s="8"/>
      <c r="O11" s="8"/>
      <c r="P11" s="8"/>
      <c r="Q11" s="8"/>
      <c r="R11" s="8"/>
      <c r="S11" s="8"/>
      <c r="T11" s="8"/>
      <c r="U11" s="15"/>
      <c r="V11" s="8"/>
      <c r="W11" s="8"/>
      <c r="X11" s="8"/>
      <c r="Y11" s="8"/>
      <c r="Z11" s="8"/>
    </row>
    <row r="12" spans="1:28" ht="15.75" customHeight="1" x14ac:dyDescent="0.35">
      <c r="A12" s="7" t="s">
        <v>13</v>
      </c>
      <c r="B12" s="7">
        <v>2023</v>
      </c>
      <c r="C12" s="17">
        <v>1792.76</v>
      </c>
      <c r="D12" s="17">
        <v>22</v>
      </c>
      <c r="E12" s="15"/>
      <c r="F12" s="15"/>
      <c r="G12" s="17">
        <v>85</v>
      </c>
      <c r="H12" s="17">
        <v>0</v>
      </c>
      <c r="I12" s="8">
        <f t="shared" si="0"/>
        <v>1899.76</v>
      </c>
      <c r="J12" s="8">
        <f>J11+I12-SPESE!AA12</f>
        <v>2841.5500000000011</v>
      </c>
      <c r="K12" s="8"/>
      <c r="L12" s="8"/>
      <c r="M12" s="15"/>
      <c r="N12" s="8"/>
      <c r="O12" s="8"/>
      <c r="P12" s="8"/>
      <c r="Q12" s="8"/>
      <c r="R12" s="8"/>
      <c r="S12" s="8"/>
      <c r="T12" s="8"/>
      <c r="U12" s="15"/>
      <c r="V12" s="8"/>
      <c r="W12" s="8"/>
      <c r="X12" s="8"/>
      <c r="Y12" s="8"/>
      <c r="Z12" s="8"/>
    </row>
    <row r="13" spans="1:28" ht="15.75" customHeight="1" x14ac:dyDescent="0.35">
      <c r="A13" s="7" t="s">
        <v>14</v>
      </c>
      <c r="B13" s="7">
        <v>2023</v>
      </c>
      <c r="C13" s="17">
        <v>3439.38</v>
      </c>
      <c r="D13" s="17">
        <v>80</v>
      </c>
      <c r="E13" s="17">
        <v>16.86</v>
      </c>
      <c r="F13" s="15"/>
      <c r="G13" s="17">
        <v>85</v>
      </c>
      <c r="H13" s="17">
        <v>0</v>
      </c>
      <c r="I13" s="8">
        <f t="shared" si="0"/>
        <v>3621.2400000000002</v>
      </c>
      <c r="J13" s="8">
        <f>J12+I13-SPESE!AA13</f>
        <v>4398.2800000000007</v>
      </c>
      <c r="K13" s="8"/>
      <c r="L13" s="8"/>
      <c r="M13" s="15"/>
      <c r="N13" s="8"/>
      <c r="O13" s="8"/>
      <c r="P13" s="8"/>
      <c r="Q13" s="8"/>
      <c r="R13" s="8"/>
      <c r="S13" s="8"/>
      <c r="T13" s="8"/>
      <c r="U13" s="15"/>
      <c r="V13" s="8"/>
      <c r="W13" s="8"/>
      <c r="X13" s="8"/>
      <c r="Y13" s="8"/>
      <c r="Z13" s="8"/>
    </row>
    <row r="14" spans="1:28" ht="15.75" customHeight="1" x14ac:dyDescent="0.35">
      <c r="A14" s="7" t="s">
        <v>45</v>
      </c>
      <c r="B14" s="7">
        <v>2023</v>
      </c>
      <c r="C14" s="17">
        <f t="shared" ref="C14:I14" si="1">SUM(C2:C13)</f>
        <v>23832.079999999998</v>
      </c>
      <c r="D14" s="17">
        <f t="shared" si="1"/>
        <v>862</v>
      </c>
      <c r="E14" s="17">
        <f t="shared" si="1"/>
        <v>16.86</v>
      </c>
      <c r="F14" s="17">
        <f t="shared" si="1"/>
        <v>0</v>
      </c>
      <c r="G14" s="17">
        <f t="shared" si="1"/>
        <v>1733.29</v>
      </c>
      <c r="H14" s="17">
        <f t="shared" si="1"/>
        <v>398.7</v>
      </c>
      <c r="I14" s="17">
        <f t="shared" si="1"/>
        <v>26842.93</v>
      </c>
      <c r="J14" s="8"/>
    </row>
    <row r="15" spans="1:28" ht="15.75" customHeight="1" x14ac:dyDescent="0.35">
      <c r="A15" s="7" t="s">
        <v>15</v>
      </c>
      <c r="B15" s="7">
        <v>2024</v>
      </c>
      <c r="C15" s="17">
        <v>1797.11</v>
      </c>
      <c r="D15" s="17">
        <v>0</v>
      </c>
      <c r="E15" s="15"/>
      <c r="F15" s="15"/>
      <c r="G15" s="17">
        <v>0</v>
      </c>
      <c r="H15" s="17">
        <v>0</v>
      </c>
      <c r="I15" s="8">
        <f t="shared" ref="I15:I26" si="2">SUM(C15:H15)</f>
        <v>1797.11</v>
      </c>
      <c r="J15" s="8">
        <f>J13+I15-SPESE!AA15</f>
        <v>4276.87</v>
      </c>
      <c r="K15" s="8"/>
      <c r="L15" s="8"/>
      <c r="M15" s="15"/>
      <c r="N15" s="8"/>
      <c r="O15" s="15"/>
      <c r="P15" s="15"/>
      <c r="Q15" s="8"/>
      <c r="R15" s="8"/>
      <c r="S15" s="8"/>
      <c r="T15" s="8"/>
      <c r="U15" s="15"/>
      <c r="V15" s="8"/>
      <c r="W15" s="8"/>
      <c r="X15" s="8"/>
      <c r="Y15" s="8"/>
      <c r="Z15" s="8"/>
    </row>
    <row r="16" spans="1:28" ht="15.75" customHeight="1" x14ac:dyDescent="0.35">
      <c r="A16" s="7" t="s">
        <v>16</v>
      </c>
      <c r="B16" s="7">
        <v>2024</v>
      </c>
      <c r="C16" s="17">
        <v>1893.14</v>
      </c>
      <c r="D16" s="17">
        <v>15</v>
      </c>
      <c r="E16" s="15"/>
      <c r="F16" s="15"/>
      <c r="G16" s="17">
        <v>0</v>
      </c>
      <c r="H16" s="17">
        <v>0</v>
      </c>
      <c r="I16" s="8">
        <f t="shared" si="2"/>
        <v>1908.14</v>
      </c>
      <c r="J16" s="8">
        <f>J15+I16-SPESE!AA16</f>
        <v>4658.8600000000006</v>
      </c>
      <c r="K16" s="8"/>
      <c r="L16" s="8"/>
      <c r="M16" s="15"/>
      <c r="N16" s="8"/>
      <c r="O16" s="8"/>
      <c r="P16" s="8"/>
      <c r="Q16" s="8"/>
      <c r="R16" s="8"/>
      <c r="S16" s="8"/>
      <c r="T16" s="8"/>
      <c r="U16" s="15"/>
      <c r="V16" s="8"/>
      <c r="W16" s="8"/>
      <c r="X16" s="8"/>
      <c r="Y16" s="8"/>
      <c r="Z16" s="8"/>
    </row>
    <row r="17" spans="1:26" ht="15.75" customHeight="1" x14ac:dyDescent="0.35">
      <c r="A17" s="7" t="s">
        <v>17</v>
      </c>
      <c r="B17" s="7">
        <v>2024</v>
      </c>
      <c r="C17" s="17">
        <v>1812.23</v>
      </c>
      <c r="D17" s="17">
        <v>20</v>
      </c>
      <c r="E17" s="15"/>
      <c r="F17" s="15"/>
      <c r="G17" s="17">
        <v>0</v>
      </c>
      <c r="H17" s="17">
        <v>0</v>
      </c>
      <c r="I17" s="8">
        <f t="shared" si="2"/>
        <v>1832.23</v>
      </c>
      <c r="J17" s="8">
        <f>J16+I17-SPESE!AA17</f>
        <v>4726.79</v>
      </c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6" ht="15.75" customHeight="1" x14ac:dyDescent="0.35">
      <c r="A18" s="7" t="s">
        <v>18</v>
      </c>
      <c r="B18" s="7">
        <v>2024</v>
      </c>
      <c r="C18" s="17">
        <v>1766.61</v>
      </c>
      <c r="D18" s="15"/>
      <c r="E18" s="15"/>
      <c r="F18" s="17">
        <v>490</v>
      </c>
      <c r="G18" s="15"/>
      <c r="H18" s="15"/>
      <c r="I18" s="8">
        <f t="shared" si="2"/>
        <v>2256.6099999999997</v>
      </c>
      <c r="J18" s="8">
        <f>J17+I18-SPESE!AA18</f>
        <v>2832.9300000000003</v>
      </c>
      <c r="K18" s="8"/>
      <c r="L18" s="8"/>
      <c r="M18" s="15"/>
      <c r="N18" s="8"/>
      <c r="O18" s="8"/>
      <c r="P18" s="8"/>
      <c r="Q18" s="15"/>
      <c r="R18" s="8"/>
      <c r="S18" s="8"/>
      <c r="T18" s="8"/>
      <c r="U18" s="15"/>
      <c r="V18" s="8"/>
      <c r="W18" s="8"/>
      <c r="X18" s="8"/>
      <c r="Y18" s="8"/>
      <c r="Z18" s="8"/>
    </row>
    <row r="19" spans="1:26" ht="15.75" customHeight="1" x14ac:dyDescent="0.35">
      <c r="A19" s="7" t="s">
        <v>19</v>
      </c>
      <c r="B19" s="7">
        <v>2024</v>
      </c>
      <c r="C19" s="17">
        <v>1875.16</v>
      </c>
      <c r="D19" s="17">
        <v>15</v>
      </c>
      <c r="E19" s="15"/>
      <c r="F19" s="15"/>
      <c r="G19" s="17">
        <v>65</v>
      </c>
      <c r="H19" s="17">
        <v>0</v>
      </c>
      <c r="I19" s="8">
        <f t="shared" si="2"/>
        <v>1955.16</v>
      </c>
      <c r="J19" s="8">
        <f>J18+I19-SPESE!AA19</f>
        <v>2508.4599999999996</v>
      </c>
      <c r="K19" s="8"/>
      <c r="L19" s="8"/>
      <c r="M19" s="15"/>
      <c r="N19" s="8"/>
      <c r="O19" s="8"/>
      <c r="P19" s="15"/>
      <c r="Q19" s="8"/>
      <c r="R19" s="8"/>
      <c r="S19" s="8"/>
      <c r="T19" s="8"/>
      <c r="U19" s="15"/>
      <c r="V19" s="8"/>
      <c r="W19" s="8"/>
      <c r="X19" s="8"/>
      <c r="Y19" s="8"/>
      <c r="Z19" s="8"/>
    </row>
    <row r="20" spans="1:26" ht="15.75" customHeight="1" x14ac:dyDescent="0.35">
      <c r="A20" s="7" t="s">
        <v>20</v>
      </c>
      <c r="B20" s="7">
        <v>2024</v>
      </c>
      <c r="C20" s="17">
        <v>1822.1</v>
      </c>
      <c r="D20" s="17">
        <v>20</v>
      </c>
      <c r="E20" s="15"/>
      <c r="F20" s="15"/>
      <c r="G20" s="15"/>
      <c r="H20" s="17">
        <v>0</v>
      </c>
      <c r="I20" s="8">
        <f t="shared" si="2"/>
        <v>1842.1</v>
      </c>
      <c r="J20" s="8">
        <f>J19+I20-SPESE!AA20</f>
        <v>2940.0799999999995</v>
      </c>
      <c r="K20" s="8"/>
      <c r="L20" s="8"/>
      <c r="M20" s="15"/>
      <c r="N20" s="8"/>
      <c r="O20" s="15"/>
      <c r="P20" s="8"/>
      <c r="Q20" s="15"/>
      <c r="R20" s="8"/>
      <c r="S20" s="8"/>
      <c r="T20" s="8"/>
      <c r="U20" s="15"/>
      <c r="V20" s="8"/>
      <c r="W20" s="8"/>
      <c r="X20" s="8"/>
      <c r="Y20" s="8"/>
      <c r="Z20" s="8"/>
    </row>
    <row r="21" spans="1:26" ht="15.75" customHeight="1" x14ac:dyDescent="0.35">
      <c r="A21" s="7" t="s">
        <v>9</v>
      </c>
      <c r="B21" s="7">
        <v>2024</v>
      </c>
      <c r="C21" s="17">
        <v>1881.96</v>
      </c>
      <c r="D21" s="15"/>
      <c r="E21" s="15"/>
      <c r="F21" s="15"/>
      <c r="G21" s="17">
        <v>110.5</v>
      </c>
      <c r="H21" s="15"/>
      <c r="I21" s="8">
        <f t="shared" si="2"/>
        <v>1992.46</v>
      </c>
      <c r="J21" s="8">
        <f>J20+I21-SPESE!AA21</f>
        <v>2742.8799999999992</v>
      </c>
      <c r="K21" s="8"/>
      <c r="L21" s="8"/>
      <c r="M21" s="15"/>
      <c r="N21" s="8"/>
      <c r="O21" s="8"/>
      <c r="P21" s="8"/>
      <c r="Q21" s="8"/>
      <c r="R21" s="8"/>
      <c r="S21" s="8"/>
      <c r="T21" s="8"/>
      <c r="U21" s="15"/>
      <c r="V21" s="8"/>
      <c r="W21" s="8"/>
      <c r="X21" s="8"/>
      <c r="Y21" s="8"/>
      <c r="Z21" s="8"/>
    </row>
    <row r="22" spans="1:26" ht="14.5" x14ac:dyDescent="0.35">
      <c r="A22" s="7" t="s">
        <v>10</v>
      </c>
      <c r="B22" s="7">
        <v>2024</v>
      </c>
      <c r="C22" s="17">
        <v>1820</v>
      </c>
      <c r="D22" s="17">
        <v>30</v>
      </c>
      <c r="E22" s="15"/>
      <c r="F22" s="15"/>
      <c r="G22" s="17">
        <v>0</v>
      </c>
      <c r="H22" s="17">
        <v>0</v>
      </c>
      <c r="I22" s="8">
        <f t="shared" si="2"/>
        <v>1850</v>
      </c>
      <c r="J22" s="8">
        <f>J21+I22-SPESE!AA22</f>
        <v>2986.1499999999992</v>
      </c>
      <c r="K22" s="8"/>
      <c r="L22" s="8"/>
      <c r="M22" s="15"/>
      <c r="N22" s="8"/>
      <c r="O22" s="15"/>
      <c r="P22" s="8"/>
      <c r="Q22" s="8"/>
      <c r="R22" s="8"/>
      <c r="S22" s="8"/>
      <c r="T22" s="8"/>
      <c r="U22" s="15"/>
      <c r="V22" s="8"/>
      <c r="W22" s="8"/>
      <c r="X22" s="8"/>
      <c r="Y22" s="8"/>
      <c r="Z22" s="8"/>
    </row>
    <row r="23" spans="1:26" ht="14.5" x14ac:dyDescent="0.35">
      <c r="A23" s="7" t="s">
        <v>11</v>
      </c>
      <c r="B23" s="7">
        <v>2024</v>
      </c>
      <c r="C23" s="17">
        <v>1821.35</v>
      </c>
      <c r="D23" s="17">
        <v>0</v>
      </c>
      <c r="E23" s="15"/>
      <c r="F23" s="15"/>
      <c r="G23" s="15"/>
      <c r="H23" s="17">
        <v>0</v>
      </c>
      <c r="I23" s="8">
        <f t="shared" si="2"/>
        <v>1821.35</v>
      </c>
      <c r="J23" s="8">
        <f>J22+I23-SPESE!AA23</f>
        <v>2986.9399999999987</v>
      </c>
      <c r="K23" s="8"/>
      <c r="L23" s="8"/>
      <c r="M23" s="15"/>
      <c r="N23" s="8"/>
      <c r="O23" s="8"/>
      <c r="P23" s="8"/>
      <c r="Q23" s="15"/>
      <c r="R23" s="8"/>
      <c r="S23" s="8"/>
      <c r="T23" s="8"/>
      <c r="U23" s="15"/>
      <c r="V23" s="8"/>
      <c r="W23" s="8"/>
      <c r="X23" s="8"/>
      <c r="Y23" s="8"/>
      <c r="Z23" s="8"/>
    </row>
    <row r="24" spans="1:26" ht="14.5" x14ac:dyDescent="0.35">
      <c r="A24" s="7" t="s">
        <v>12</v>
      </c>
      <c r="B24" s="7">
        <v>2024</v>
      </c>
      <c r="C24" s="17">
        <v>1816.55</v>
      </c>
      <c r="D24" s="15"/>
      <c r="E24" s="15"/>
      <c r="F24" s="15"/>
      <c r="G24" s="17">
        <v>38</v>
      </c>
      <c r="H24" s="17">
        <v>0</v>
      </c>
      <c r="I24" s="8">
        <f t="shared" si="2"/>
        <v>1854.55</v>
      </c>
      <c r="J24" s="8">
        <f>J23+I24-SPESE!AA24</f>
        <v>1905.329999999999</v>
      </c>
      <c r="K24" s="8"/>
      <c r="L24" s="8"/>
      <c r="M24" s="15"/>
      <c r="N24" s="8"/>
      <c r="O24" s="8"/>
      <c r="P24" s="15"/>
      <c r="Q24" s="8"/>
      <c r="R24" s="8"/>
      <c r="S24" s="8"/>
      <c r="T24" s="8"/>
      <c r="U24" s="15"/>
      <c r="V24" s="8"/>
      <c r="W24" s="8"/>
      <c r="X24" s="8"/>
      <c r="Y24" s="8"/>
      <c r="Z24" s="8"/>
    </row>
    <row r="25" spans="1:26" ht="14.5" x14ac:dyDescent="0.35">
      <c r="A25" s="7" t="s">
        <v>13</v>
      </c>
      <c r="B25" s="7">
        <v>2024</v>
      </c>
      <c r="C25" s="17">
        <f>2837.57+986</f>
        <v>3823.57</v>
      </c>
      <c r="D25" s="15"/>
      <c r="E25" s="15"/>
      <c r="F25" s="15"/>
      <c r="G25" s="15"/>
      <c r="H25" s="17">
        <v>0</v>
      </c>
      <c r="I25" s="8">
        <f t="shared" si="2"/>
        <v>3823.57</v>
      </c>
      <c r="J25" s="8">
        <f>J24+I25-SPESE!AA25</f>
        <v>3813.0699999999997</v>
      </c>
      <c r="K25" s="8"/>
      <c r="L25" s="8"/>
      <c r="M25" s="15"/>
      <c r="N25" s="8"/>
      <c r="O25" s="8"/>
      <c r="P25" s="15"/>
      <c r="Q25" s="8"/>
      <c r="R25" s="8"/>
      <c r="S25" s="8"/>
      <c r="T25" s="8"/>
      <c r="U25" s="15"/>
      <c r="V25" s="8"/>
      <c r="W25" s="8"/>
      <c r="X25" s="8"/>
      <c r="Y25" s="8"/>
      <c r="Z25" s="8"/>
    </row>
    <row r="26" spans="1:26" ht="14.5" x14ac:dyDescent="0.35">
      <c r="A26" s="7" t="s">
        <v>14</v>
      </c>
      <c r="B26" s="7">
        <v>2024</v>
      </c>
      <c r="C26" s="17">
        <f>405.22+2372</f>
        <v>2777.2200000000003</v>
      </c>
      <c r="D26" s="17">
        <v>45</v>
      </c>
      <c r="E26" s="15"/>
      <c r="F26" s="15"/>
      <c r="G26" s="15"/>
      <c r="H26" s="17">
        <v>0</v>
      </c>
      <c r="I26" s="8">
        <f t="shared" si="2"/>
        <v>2822.2200000000003</v>
      </c>
      <c r="J26" s="8">
        <f>J25+I26-SPESE!AA26</f>
        <v>4080.2700000000004</v>
      </c>
      <c r="K26" s="8"/>
      <c r="L26" s="8"/>
      <c r="M26" s="15"/>
      <c r="N26" s="8"/>
      <c r="O26" s="8"/>
      <c r="P26" s="8"/>
      <c r="Q26" s="8"/>
      <c r="R26" s="8"/>
      <c r="S26" s="8"/>
      <c r="T26" s="8"/>
      <c r="U26" s="15"/>
      <c r="V26" s="8"/>
      <c r="W26" s="8"/>
      <c r="X26" s="8"/>
      <c r="Y26" s="8"/>
      <c r="Z26" s="8"/>
    </row>
    <row r="27" spans="1:26" ht="14.5" x14ac:dyDescent="0.35">
      <c r="A27" s="7" t="s">
        <v>45</v>
      </c>
      <c r="B27" s="7">
        <v>2024</v>
      </c>
      <c r="C27" s="17">
        <f t="shared" ref="C27:I27" si="3">SUM(C15:C26)</f>
        <v>24907</v>
      </c>
      <c r="D27" s="17">
        <f t="shared" si="3"/>
        <v>145</v>
      </c>
      <c r="E27" s="17">
        <f t="shared" si="3"/>
        <v>0</v>
      </c>
      <c r="F27" s="17">
        <f t="shared" si="3"/>
        <v>490</v>
      </c>
      <c r="G27" s="17">
        <f t="shared" si="3"/>
        <v>213.5</v>
      </c>
      <c r="H27" s="17">
        <f t="shared" si="3"/>
        <v>0</v>
      </c>
      <c r="I27" s="17">
        <f t="shared" si="3"/>
        <v>25755.5</v>
      </c>
      <c r="J27" s="8"/>
    </row>
    <row r="28" spans="1:26" ht="14.5" x14ac:dyDescent="0.35">
      <c r="A28" s="7" t="s">
        <v>15</v>
      </c>
      <c r="B28" s="7">
        <v>2025</v>
      </c>
      <c r="C28" s="17">
        <v>2846</v>
      </c>
      <c r="D28" s="17">
        <v>0</v>
      </c>
      <c r="E28" s="15"/>
      <c r="F28" s="15"/>
      <c r="G28" s="17">
        <v>211.4</v>
      </c>
      <c r="H28" s="17">
        <v>0</v>
      </c>
      <c r="I28" s="8">
        <f t="shared" ref="I28:I39" si="4">SUM(C28:H28)</f>
        <v>3057.4</v>
      </c>
      <c r="J28" s="8">
        <f>J26+I28-SPESE!AA28</f>
        <v>3627.5500000000006</v>
      </c>
      <c r="K28" s="8"/>
      <c r="L28" s="8"/>
      <c r="M28" s="15"/>
      <c r="N28" s="8"/>
      <c r="O28" s="8"/>
      <c r="P28" s="8"/>
      <c r="Q28" s="8"/>
      <c r="R28" s="8"/>
      <c r="S28" s="8"/>
      <c r="T28" s="8"/>
      <c r="U28" s="15"/>
      <c r="V28" s="8"/>
      <c r="W28" s="8"/>
      <c r="X28" s="8"/>
      <c r="Y28" s="8"/>
      <c r="Z28" s="8"/>
    </row>
    <row r="29" spans="1:26" ht="14.5" x14ac:dyDescent="0.35">
      <c r="A29" s="7" t="s">
        <v>16</v>
      </c>
      <c r="B29" s="7">
        <v>2025</v>
      </c>
      <c r="C29" s="18">
        <v>2374</v>
      </c>
      <c r="D29" s="15"/>
      <c r="E29" s="15"/>
      <c r="F29" s="15"/>
      <c r="G29" s="17">
        <v>0</v>
      </c>
      <c r="H29" s="17">
        <v>0</v>
      </c>
      <c r="I29" s="8">
        <f t="shared" si="4"/>
        <v>2374</v>
      </c>
      <c r="J29" s="8">
        <f>J28+I29-SPESE!AA29</f>
        <v>3908.7300000000014</v>
      </c>
      <c r="K29" s="8"/>
      <c r="L29" s="8"/>
      <c r="M29" s="15"/>
      <c r="N29" s="8"/>
      <c r="O29" s="15"/>
      <c r="P29" s="15"/>
      <c r="Q29" s="8"/>
      <c r="R29" s="8"/>
      <c r="S29" s="8"/>
      <c r="T29" s="8"/>
      <c r="U29" s="15"/>
      <c r="V29" s="8"/>
      <c r="W29" s="8"/>
      <c r="X29" s="8"/>
      <c r="Y29" s="8"/>
      <c r="Z29" s="8"/>
    </row>
    <row r="30" spans="1:26" ht="14.5" x14ac:dyDescent="0.35">
      <c r="A30" s="7" t="s">
        <v>17</v>
      </c>
      <c r="B30" s="7">
        <v>2025</v>
      </c>
      <c r="C30" s="17">
        <v>2443</v>
      </c>
      <c r="D30" s="15"/>
      <c r="E30" s="15"/>
      <c r="F30" s="15"/>
      <c r="G30" s="17">
        <v>0</v>
      </c>
      <c r="H30" s="17">
        <v>0</v>
      </c>
      <c r="I30" s="8">
        <f t="shared" si="4"/>
        <v>2443</v>
      </c>
      <c r="J30" s="8">
        <f>J29+I30-SPESE!AA30</f>
        <v>4449.090000000002</v>
      </c>
      <c r="K30" s="8"/>
      <c r="L30" s="8"/>
      <c r="M30" s="8"/>
    </row>
    <row r="31" spans="1:26" ht="14.5" x14ac:dyDescent="0.35">
      <c r="A31" s="7" t="s">
        <v>18</v>
      </c>
      <c r="B31" s="7">
        <v>2025</v>
      </c>
      <c r="C31" s="17">
        <f>257.4+2114</f>
        <v>2371.4</v>
      </c>
      <c r="D31" s="17">
        <v>80</v>
      </c>
      <c r="E31" s="17">
        <v>60</v>
      </c>
      <c r="F31" s="17">
        <v>0</v>
      </c>
      <c r="G31" s="15"/>
      <c r="H31" s="15"/>
      <c r="I31" s="8">
        <f t="shared" si="4"/>
        <v>2511.4</v>
      </c>
      <c r="J31" s="8">
        <f>J30+I31-SPESE!AA31</f>
        <v>4355.1100000000024</v>
      </c>
      <c r="K31" s="8"/>
      <c r="L31" s="8"/>
      <c r="M31" s="15"/>
      <c r="N31" s="15"/>
      <c r="O31" s="8"/>
      <c r="P31" s="8"/>
      <c r="Q31" s="8"/>
      <c r="R31" s="8"/>
      <c r="S31" s="8"/>
      <c r="T31" s="8"/>
      <c r="U31" s="15"/>
      <c r="V31" s="8"/>
      <c r="W31" s="8"/>
      <c r="X31" s="8"/>
      <c r="Y31" s="8"/>
      <c r="Z31" s="8"/>
    </row>
    <row r="32" spans="1:26" ht="14.5" x14ac:dyDescent="0.35">
      <c r="A32" s="7" t="s">
        <v>19</v>
      </c>
      <c r="B32" s="7">
        <v>2025</v>
      </c>
      <c r="C32" s="17">
        <v>2075</v>
      </c>
      <c r="D32" s="15"/>
      <c r="E32" s="15"/>
      <c r="F32" s="15"/>
      <c r="G32" s="15"/>
      <c r="H32" s="17">
        <v>0</v>
      </c>
      <c r="I32" s="8">
        <f t="shared" si="4"/>
        <v>2075</v>
      </c>
      <c r="J32" s="8">
        <f>J31+I32-SPESE!AA32</f>
        <v>3602.8000000000029</v>
      </c>
      <c r="K32" s="8"/>
      <c r="L32" s="8"/>
      <c r="M32" s="15"/>
      <c r="N32" s="8"/>
      <c r="O32" s="15"/>
      <c r="P32" s="8"/>
      <c r="Q32" s="8"/>
      <c r="R32" s="8"/>
      <c r="S32" s="8"/>
      <c r="T32" s="8"/>
      <c r="U32" s="15"/>
      <c r="V32" s="8"/>
      <c r="W32" s="8"/>
      <c r="X32" s="8"/>
      <c r="Y32" s="15"/>
      <c r="Z32" s="8"/>
    </row>
    <row r="33" spans="1:26" ht="14.5" x14ac:dyDescent="0.35">
      <c r="A33" s="7" t="s">
        <v>20</v>
      </c>
      <c r="B33" s="7">
        <v>2025</v>
      </c>
      <c r="C33" s="17">
        <f>2429+200</f>
        <v>2629</v>
      </c>
      <c r="D33" s="15"/>
      <c r="E33" s="15"/>
      <c r="F33" s="15"/>
      <c r="G33" s="15"/>
      <c r="H33" s="17">
        <v>0</v>
      </c>
      <c r="I33" s="8">
        <f t="shared" si="4"/>
        <v>2629</v>
      </c>
      <c r="J33" s="8">
        <f>J32+I33-SPESE!AA33</f>
        <v>4402.2100000000028</v>
      </c>
      <c r="K33" s="8"/>
      <c r="L33" s="15"/>
      <c r="M33" s="15"/>
      <c r="N33" s="8"/>
      <c r="O33" s="8"/>
      <c r="P33" s="8"/>
      <c r="Q33" s="15"/>
      <c r="R33" s="8"/>
      <c r="S33" s="8"/>
      <c r="T33" s="8"/>
      <c r="U33" s="15"/>
      <c r="V33" s="8"/>
      <c r="W33" s="8"/>
      <c r="X33" s="8"/>
      <c r="Y33" s="15"/>
      <c r="Z33" s="8"/>
    </row>
    <row r="34" spans="1:26" ht="14.5" x14ac:dyDescent="0.35">
      <c r="A34" s="7" t="s">
        <v>9</v>
      </c>
      <c r="B34" s="7">
        <v>2025</v>
      </c>
      <c r="C34" s="17">
        <v>2102</v>
      </c>
      <c r="D34" s="15"/>
      <c r="E34" s="15"/>
      <c r="F34" s="15"/>
      <c r="G34" s="15"/>
      <c r="H34" s="17">
        <v>120</v>
      </c>
      <c r="I34" s="8">
        <f t="shared" si="4"/>
        <v>2222</v>
      </c>
      <c r="J34" s="8">
        <f>J33+I34-SPESE!AA34</f>
        <v>4015.0200000000032</v>
      </c>
      <c r="K34" s="8"/>
      <c r="L34" s="8"/>
      <c r="M34" s="15"/>
      <c r="N34" s="8"/>
      <c r="O34" s="8"/>
      <c r="P34" s="15"/>
      <c r="Q34" s="15"/>
      <c r="R34" s="8"/>
      <c r="S34" s="8"/>
      <c r="T34" s="8"/>
      <c r="U34" s="15"/>
      <c r="V34" s="8"/>
      <c r="W34" s="8"/>
      <c r="X34" s="8"/>
      <c r="Y34" s="8"/>
      <c r="Z34" s="8"/>
    </row>
    <row r="35" spans="1:26" ht="14.5" x14ac:dyDescent="0.35">
      <c r="A35" s="7" t="s">
        <v>10</v>
      </c>
      <c r="B35" s="7">
        <v>2025</v>
      </c>
      <c r="C35" s="17">
        <v>772</v>
      </c>
      <c r="D35" s="15"/>
      <c r="E35" s="15"/>
      <c r="F35" s="15"/>
      <c r="G35" s="17">
        <v>0</v>
      </c>
      <c r="H35" s="17">
        <v>0</v>
      </c>
      <c r="I35" s="8">
        <f t="shared" si="4"/>
        <v>772</v>
      </c>
      <c r="J35" s="8">
        <f>J34+I35-SPESE!AA35</f>
        <v>3166.9000000000033</v>
      </c>
      <c r="K35" s="8"/>
      <c r="L35" s="8"/>
      <c r="M35" s="15"/>
      <c r="N35" s="8"/>
      <c r="O35" s="8"/>
      <c r="P35" s="8"/>
      <c r="Q35" s="8"/>
      <c r="R35" s="8"/>
      <c r="S35" s="8"/>
      <c r="T35" s="8"/>
      <c r="U35" s="15"/>
      <c r="V35" s="8"/>
      <c r="W35" s="8"/>
      <c r="X35" s="8"/>
      <c r="Y35" s="8"/>
      <c r="Z35" s="8"/>
    </row>
    <row r="36" spans="1:26" ht="14.5" x14ac:dyDescent="0.35">
      <c r="A36" s="7" t="s">
        <v>11</v>
      </c>
      <c r="B36" s="7">
        <v>2025</v>
      </c>
      <c r="C36" s="17">
        <f>2062+150</f>
        <v>2212</v>
      </c>
      <c r="D36" s="17">
        <v>0</v>
      </c>
      <c r="E36" s="15"/>
      <c r="F36" s="15"/>
      <c r="G36" s="17">
        <v>250</v>
      </c>
      <c r="H36" s="17">
        <v>0</v>
      </c>
      <c r="I36" s="8">
        <f t="shared" si="4"/>
        <v>2462</v>
      </c>
      <c r="J36" s="8">
        <f>J35+I36-SPESE!AA36</f>
        <v>2312.0700000000033</v>
      </c>
      <c r="K36" s="8"/>
      <c r="L36" s="8"/>
      <c r="M36" s="15"/>
      <c r="N36" s="8"/>
      <c r="O36" s="8"/>
      <c r="P36" s="8"/>
      <c r="Q36" s="15"/>
      <c r="R36" s="8"/>
      <c r="S36" s="8"/>
      <c r="T36" s="8"/>
      <c r="U36" s="15"/>
      <c r="V36" s="8"/>
      <c r="W36" s="8"/>
      <c r="X36" s="8"/>
      <c r="Y36" s="8"/>
      <c r="Z36" s="8"/>
    </row>
    <row r="37" spans="1:26" ht="14.5" x14ac:dyDescent="0.35">
      <c r="A37" s="7" t="s">
        <v>12</v>
      </c>
      <c r="B37" s="7">
        <v>2025</v>
      </c>
      <c r="C37" s="17">
        <f>2112+150</f>
        <v>2262</v>
      </c>
      <c r="D37" s="17">
        <v>20</v>
      </c>
      <c r="E37" s="15"/>
      <c r="F37" s="17">
        <v>50</v>
      </c>
      <c r="G37" s="15"/>
      <c r="H37" s="17">
        <v>0</v>
      </c>
      <c r="I37" s="8">
        <f t="shared" si="4"/>
        <v>2332</v>
      </c>
      <c r="J37" s="8">
        <f>J36+I37-SPESE!AA37</f>
        <v>1217.0500000000038</v>
      </c>
      <c r="K37" s="8"/>
      <c r="L37" s="8"/>
      <c r="M37" s="15"/>
      <c r="N37" s="8"/>
      <c r="O37" s="8"/>
      <c r="P37" s="8"/>
      <c r="Q37" s="8"/>
      <c r="R37" s="8"/>
      <c r="S37" s="8"/>
      <c r="T37" s="8"/>
      <c r="U37" s="15"/>
      <c r="V37" s="8"/>
      <c r="W37" s="8"/>
      <c r="X37" s="8"/>
      <c r="Y37" s="8"/>
      <c r="Z37" s="8"/>
    </row>
    <row r="38" spans="1:26" ht="14.5" x14ac:dyDescent="0.35">
      <c r="A38" s="7" t="s">
        <v>13</v>
      </c>
      <c r="B38" s="7">
        <v>2025</v>
      </c>
      <c r="C38" s="17">
        <f>2179+150</f>
        <v>2329</v>
      </c>
      <c r="D38" s="15"/>
      <c r="E38" s="15"/>
      <c r="F38" s="15"/>
      <c r="G38" s="15"/>
      <c r="H38" s="17">
        <v>0</v>
      </c>
      <c r="I38" s="8">
        <f t="shared" si="4"/>
        <v>2329</v>
      </c>
      <c r="J38" s="8">
        <f>J37+I38-SPESE!AA38</f>
        <v>2145.2700000000041</v>
      </c>
      <c r="K38" s="8"/>
      <c r="L38" s="8"/>
      <c r="M38" s="15"/>
      <c r="N38" s="8"/>
      <c r="O38" s="8"/>
      <c r="P38" s="15"/>
      <c r="Q38" s="8"/>
      <c r="R38" s="8"/>
      <c r="S38" s="8"/>
      <c r="T38" s="8"/>
      <c r="U38" s="15"/>
      <c r="V38" s="8"/>
      <c r="W38" s="8"/>
      <c r="X38" s="8"/>
      <c r="Y38" s="8"/>
      <c r="Z38" s="8"/>
    </row>
    <row r="39" spans="1:26" ht="14.5" x14ac:dyDescent="0.35">
      <c r="A39" s="7" t="s">
        <v>14</v>
      </c>
      <c r="B39" s="7">
        <v>2025</v>
      </c>
      <c r="C39" s="17">
        <f>2767+1864</f>
        <v>4631</v>
      </c>
      <c r="D39" s="15"/>
      <c r="E39" s="15"/>
      <c r="F39" s="15"/>
      <c r="G39" s="17">
        <v>56.1</v>
      </c>
      <c r="H39" s="17">
        <v>0</v>
      </c>
      <c r="I39" s="8">
        <f t="shared" si="4"/>
        <v>4687.1000000000004</v>
      </c>
      <c r="J39" s="8">
        <f>J38+I39-SPESE!AA39</f>
        <v>4614.2200000000048</v>
      </c>
      <c r="K39" s="8"/>
      <c r="L39" s="8"/>
      <c r="M39" s="15"/>
      <c r="N39" s="8"/>
      <c r="O39" s="8"/>
      <c r="P39" s="8"/>
      <c r="Q39" s="8"/>
      <c r="R39" s="8"/>
      <c r="S39" s="8"/>
      <c r="T39" s="8"/>
      <c r="U39" s="15"/>
      <c r="V39" s="8"/>
      <c r="W39" s="8"/>
      <c r="X39" s="8"/>
      <c r="Y39" s="8"/>
      <c r="Z39" s="8"/>
    </row>
    <row r="40" spans="1:26" ht="14.5" x14ac:dyDescent="0.35">
      <c r="A40" s="7" t="s">
        <v>45</v>
      </c>
      <c r="B40" s="7">
        <v>2025</v>
      </c>
      <c r="C40" s="17">
        <f t="shared" ref="C40:I40" si="5">SUM(C28:C39)</f>
        <v>29046.400000000001</v>
      </c>
      <c r="D40" s="17">
        <f t="shared" si="5"/>
        <v>100</v>
      </c>
      <c r="E40" s="17">
        <f t="shared" si="5"/>
        <v>60</v>
      </c>
      <c r="F40" s="17">
        <f t="shared" si="5"/>
        <v>50</v>
      </c>
      <c r="G40" s="17">
        <f t="shared" si="5"/>
        <v>517.5</v>
      </c>
      <c r="H40" s="17">
        <f t="shared" si="5"/>
        <v>120</v>
      </c>
      <c r="I40" s="17">
        <f t="shared" si="5"/>
        <v>29893.9</v>
      </c>
      <c r="J40" s="8"/>
    </row>
    <row r="41" spans="1:26" ht="14.5" x14ac:dyDescent="0.35">
      <c r="A41" s="7" t="s">
        <v>15</v>
      </c>
      <c r="B41" s="7">
        <v>2026</v>
      </c>
      <c r="C41" s="17">
        <v>2038</v>
      </c>
      <c r="D41" s="17">
        <v>0</v>
      </c>
      <c r="E41" s="15"/>
      <c r="F41" s="15"/>
      <c r="G41" s="15"/>
      <c r="H41" s="17">
        <v>0</v>
      </c>
      <c r="I41" s="8">
        <f t="shared" ref="I41:I52" si="6">SUM(C41:H41)</f>
        <v>2038</v>
      </c>
      <c r="J41" s="14">
        <v>3326.87</v>
      </c>
      <c r="K41" s="8"/>
      <c r="L41" s="8"/>
      <c r="M41" s="15"/>
      <c r="N41" s="8"/>
      <c r="O41" s="15"/>
      <c r="P41" s="15"/>
      <c r="Q41" s="15"/>
      <c r="R41" s="8"/>
      <c r="S41" s="8"/>
      <c r="T41" s="8"/>
      <c r="U41" s="15"/>
      <c r="V41" s="8"/>
      <c r="W41" s="8"/>
      <c r="X41" s="8"/>
      <c r="Y41" s="8"/>
      <c r="Z41" s="8"/>
    </row>
    <row r="42" spans="1:26" ht="14.5" x14ac:dyDescent="0.35">
      <c r="A42" s="7" t="s">
        <v>16</v>
      </c>
      <c r="B42" s="7">
        <v>2026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8">
        <f t="shared" si="6"/>
        <v>0</v>
      </c>
      <c r="J42" s="8">
        <f>J41+I42-SPESE!AA42</f>
        <v>3326.87</v>
      </c>
    </row>
    <row r="43" spans="1:26" ht="14.5" x14ac:dyDescent="0.35">
      <c r="A43" s="7" t="s">
        <v>17</v>
      </c>
      <c r="B43" s="7">
        <v>2026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8">
        <f t="shared" si="6"/>
        <v>0</v>
      </c>
      <c r="J43" s="8">
        <f>J42+I43-SPESE!AA43</f>
        <v>3326.87</v>
      </c>
    </row>
    <row r="44" spans="1:26" ht="14.5" x14ac:dyDescent="0.35">
      <c r="A44" s="7" t="s">
        <v>18</v>
      </c>
      <c r="B44" s="7">
        <v>2026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8">
        <f t="shared" si="6"/>
        <v>0</v>
      </c>
      <c r="J44" s="8">
        <f>J43+I44-SPESE!AA44</f>
        <v>3326.87</v>
      </c>
    </row>
    <row r="45" spans="1:26" ht="14.5" x14ac:dyDescent="0.35">
      <c r="A45" s="7" t="s">
        <v>19</v>
      </c>
      <c r="B45" s="7">
        <v>2026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8">
        <f t="shared" si="6"/>
        <v>0</v>
      </c>
      <c r="J45" s="8">
        <f>J44+I45-SPESE!AA45</f>
        <v>3326.87</v>
      </c>
    </row>
    <row r="46" spans="1:26" ht="14.5" x14ac:dyDescent="0.35">
      <c r="A46" s="7" t="s">
        <v>20</v>
      </c>
      <c r="B46" s="7">
        <v>2026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8">
        <f t="shared" si="6"/>
        <v>0</v>
      </c>
      <c r="J46" s="8">
        <f>J45+I46-SPESE!AA46</f>
        <v>3326.87</v>
      </c>
    </row>
    <row r="47" spans="1:26" ht="14.5" x14ac:dyDescent="0.35">
      <c r="A47" s="7" t="s">
        <v>9</v>
      </c>
      <c r="B47" s="7">
        <v>2026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8">
        <f t="shared" si="6"/>
        <v>0</v>
      </c>
      <c r="J47" s="8">
        <f>J46+I47-SPESE!AA47</f>
        <v>3326.87</v>
      </c>
    </row>
    <row r="48" spans="1:26" ht="14.5" x14ac:dyDescent="0.35">
      <c r="A48" s="7" t="s">
        <v>10</v>
      </c>
      <c r="B48" s="7">
        <v>2026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8">
        <f t="shared" si="6"/>
        <v>0</v>
      </c>
      <c r="J48" s="8">
        <f>J47+I48-SPESE!AA48</f>
        <v>3326.87</v>
      </c>
    </row>
    <row r="49" spans="1:10" ht="14.5" x14ac:dyDescent="0.35">
      <c r="A49" s="7" t="s">
        <v>11</v>
      </c>
      <c r="B49" s="7">
        <v>2026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8">
        <f t="shared" si="6"/>
        <v>0</v>
      </c>
      <c r="J49" s="8">
        <f>J48+I49-SPESE!AA49</f>
        <v>3326.87</v>
      </c>
    </row>
    <row r="50" spans="1:10" ht="14.5" x14ac:dyDescent="0.35">
      <c r="A50" s="7" t="s">
        <v>12</v>
      </c>
      <c r="B50" s="7">
        <v>2026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8">
        <f t="shared" si="6"/>
        <v>0</v>
      </c>
      <c r="J50" s="8">
        <f>J49+I50-SPESE!AA50</f>
        <v>3326.87</v>
      </c>
    </row>
    <row r="51" spans="1:10" ht="14.5" x14ac:dyDescent="0.35">
      <c r="A51" s="7" t="s">
        <v>13</v>
      </c>
      <c r="B51" s="7">
        <v>2026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8">
        <f t="shared" si="6"/>
        <v>0</v>
      </c>
      <c r="J51" s="8">
        <f>J50+I51-SPESE!AA51</f>
        <v>3326.87</v>
      </c>
    </row>
    <row r="52" spans="1:10" ht="14.5" x14ac:dyDescent="0.35">
      <c r="A52" s="7" t="s">
        <v>14</v>
      </c>
      <c r="B52" s="7">
        <v>2026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8">
        <f t="shared" si="6"/>
        <v>0</v>
      </c>
      <c r="J52" s="8">
        <f>J51+I52-SPESE!AA52</f>
        <v>3326.87</v>
      </c>
    </row>
    <row r="53" spans="1:10" ht="14" x14ac:dyDescent="0.3">
      <c r="A53" s="7" t="s">
        <v>45</v>
      </c>
      <c r="B53" s="7">
        <v>2026</v>
      </c>
      <c r="C53" s="17">
        <f t="shared" ref="C53:I53" si="7">SUM(C41:C52)</f>
        <v>2038</v>
      </c>
      <c r="D53" s="17">
        <f t="shared" si="7"/>
        <v>0</v>
      </c>
      <c r="E53" s="17">
        <f t="shared" si="7"/>
        <v>0</v>
      </c>
      <c r="F53" s="17">
        <f t="shared" si="7"/>
        <v>0</v>
      </c>
      <c r="G53" s="17">
        <f t="shared" si="7"/>
        <v>0</v>
      </c>
      <c r="H53" s="17">
        <f t="shared" si="7"/>
        <v>0</v>
      </c>
      <c r="I53" s="17">
        <f t="shared" si="7"/>
        <v>2038</v>
      </c>
      <c r="J53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25"/>
  <sheetViews>
    <sheetView tabSelected="1" workbookViewId="0"/>
  </sheetViews>
  <sheetFormatPr defaultColWidth="12.6328125" defaultRowHeight="15.75" customHeight="1" x14ac:dyDescent="0.25"/>
  <cols>
    <col min="1" max="1" width="8.36328125" customWidth="1"/>
    <col min="2" max="2" width="5.90625" customWidth="1"/>
    <col min="3" max="3" width="14.6328125" customWidth="1"/>
    <col min="4" max="4" width="21.36328125" customWidth="1"/>
    <col min="5" max="5" width="8.90625" customWidth="1"/>
  </cols>
  <sheetData>
    <row r="1" spans="1:5" ht="15.75" customHeight="1" x14ac:dyDescent="0.25">
      <c r="A1" s="7" t="s">
        <v>1</v>
      </c>
      <c r="B1" s="7" t="s">
        <v>0</v>
      </c>
      <c r="C1" s="7" t="s">
        <v>52</v>
      </c>
      <c r="D1" s="7" t="s">
        <v>53</v>
      </c>
      <c r="E1" s="7" t="s">
        <v>54</v>
      </c>
    </row>
    <row r="2" spans="1:5" ht="15.75" customHeight="1" x14ac:dyDescent="0.35">
      <c r="A2" s="7" t="s">
        <v>55</v>
      </c>
      <c r="B2" s="7">
        <v>2023</v>
      </c>
      <c r="C2" s="7" t="s">
        <v>23</v>
      </c>
      <c r="D2" s="19" t="s">
        <v>56</v>
      </c>
      <c r="E2" s="8">
        <v>36.4</v>
      </c>
    </row>
    <row r="3" spans="1:5" ht="15.75" customHeight="1" x14ac:dyDescent="0.35">
      <c r="A3" s="7" t="s">
        <v>55</v>
      </c>
      <c r="B3" s="7">
        <v>2023</v>
      </c>
      <c r="C3" s="7" t="s">
        <v>25</v>
      </c>
      <c r="D3" s="20" t="s">
        <v>57</v>
      </c>
      <c r="E3" s="8">
        <v>10</v>
      </c>
    </row>
    <row r="4" spans="1:5" ht="15.75" customHeight="1" x14ac:dyDescent="0.35">
      <c r="A4" s="7" t="s">
        <v>15</v>
      </c>
      <c r="B4" s="7">
        <v>2023</v>
      </c>
      <c r="C4" s="7" t="s">
        <v>25</v>
      </c>
      <c r="D4" s="20" t="s">
        <v>58</v>
      </c>
      <c r="E4" s="8">
        <v>20</v>
      </c>
    </row>
    <row r="5" spans="1:5" ht="15.75" customHeight="1" x14ac:dyDescent="0.35">
      <c r="A5" s="7" t="s">
        <v>15</v>
      </c>
      <c r="B5" s="7">
        <v>2023</v>
      </c>
      <c r="C5" s="7" t="s">
        <v>25</v>
      </c>
      <c r="D5" s="20" t="s">
        <v>59</v>
      </c>
      <c r="E5" s="8">
        <v>11</v>
      </c>
    </row>
    <row r="6" spans="1:5" ht="15.75" customHeight="1" x14ac:dyDescent="0.35">
      <c r="A6" s="7" t="s">
        <v>15</v>
      </c>
      <c r="B6" s="7">
        <v>2023</v>
      </c>
      <c r="C6" s="7" t="s">
        <v>25</v>
      </c>
      <c r="D6" s="20" t="s">
        <v>60</v>
      </c>
      <c r="E6" s="8">
        <v>50</v>
      </c>
    </row>
    <row r="7" spans="1:5" ht="15.75" customHeight="1" x14ac:dyDescent="0.35">
      <c r="A7" s="7" t="s">
        <v>15</v>
      </c>
      <c r="B7" s="7">
        <v>2023</v>
      </c>
      <c r="C7" s="7" t="s">
        <v>25</v>
      </c>
      <c r="D7" s="20" t="s">
        <v>61</v>
      </c>
      <c r="E7" s="8">
        <v>66</v>
      </c>
    </row>
    <row r="8" spans="1:5" ht="15.75" customHeight="1" x14ac:dyDescent="0.35">
      <c r="A8" s="7" t="s">
        <v>15</v>
      </c>
      <c r="B8" s="7">
        <v>2023</v>
      </c>
      <c r="C8" s="7" t="s">
        <v>25</v>
      </c>
      <c r="D8" s="20" t="s">
        <v>62</v>
      </c>
      <c r="E8" s="8">
        <v>107.95</v>
      </c>
    </row>
    <row r="9" spans="1:5" ht="15.75" customHeight="1" x14ac:dyDescent="0.35">
      <c r="A9" s="7" t="s">
        <v>15</v>
      </c>
      <c r="B9" s="7">
        <v>2023</v>
      </c>
      <c r="C9" s="7" t="s">
        <v>25</v>
      </c>
      <c r="D9" s="20" t="s">
        <v>63</v>
      </c>
      <c r="E9" s="8">
        <v>118</v>
      </c>
    </row>
    <row r="10" spans="1:5" ht="15.75" customHeight="1" x14ac:dyDescent="0.35">
      <c r="A10" s="7" t="s">
        <v>15</v>
      </c>
      <c r="B10" s="7">
        <v>2023</v>
      </c>
      <c r="C10" s="7" t="s">
        <v>26</v>
      </c>
      <c r="D10" s="20" t="s">
        <v>64</v>
      </c>
      <c r="E10" s="8">
        <v>381</v>
      </c>
    </row>
    <row r="11" spans="1:5" ht="15.75" customHeight="1" x14ac:dyDescent="0.35">
      <c r="A11" s="7" t="s">
        <v>15</v>
      </c>
      <c r="B11" s="7">
        <v>2023</v>
      </c>
      <c r="C11" s="7" t="s">
        <v>27</v>
      </c>
      <c r="D11" s="20" t="s">
        <v>65</v>
      </c>
      <c r="E11" s="8">
        <v>30</v>
      </c>
    </row>
    <row r="12" spans="1:5" ht="15.75" customHeight="1" x14ac:dyDescent="0.35">
      <c r="A12" s="7" t="s">
        <v>16</v>
      </c>
      <c r="B12" s="7">
        <v>2023</v>
      </c>
      <c r="C12" s="7" t="s">
        <v>25</v>
      </c>
      <c r="D12" s="20" t="s">
        <v>66</v>
      </c>
      <c r="E12" s="8">
        <v>120</v>
      </c>
    </row>
    <row r="13" spans="1:5" ht="15.75" customHeight="1" x14ac:dyDescent="0.35">
      <c r="A13" s="7" t="s">
        <v>16</v>
      </c>
      <c r="B13" s="7">
        <v>2023</v>
      </c>
      <c r="C13" s="7" t="s">
        <v>25</v>
      </c>
      <c r="D13" s="20" t="s">
        <v>67</v>
      </c>
      <c r="E13" s="8">
        <v>9.99</v>
      </c>
    </row>
    <row r="14" spans="1:5" ht="15.75" customHeight="1" x14ac:dyDescent="0.35">
      <c r="A14" s="7" t="s">
        <v>16</v>
      </c>
      <c r="B14" s="7">
        <v>2023</v>
      </c>
      <c r="C14" s="7" t="s">
        <v>26</v>
      </c>
      <c r="D14" s="20" t="s">
        <v>68</v>
      </c>
      <c r="E14" s="8">
        <v>89.76</v>
      </c>
    </row>
    <row r="15" spans="1:5" ht="15.75" customHeight="1" x14ac:dyDescent="0.35">
      <c r="A15" s="7" t="s">
        <v>16</v>
      </c>
      <c r="B15" s="7">
        <v>2023</v>
      </c>
      <c r="C15" s="7" t="s">
        <v>26</v>
      </c>
      <c r="D15" s="20" t="s">
        <v>69</v>
      </c>
      <c r="E15" s="8">
        <v>997</v>
      </c>
    </row>
    <row r="16" spans="1:5" ht="15.75" customHeight="1" x14ac:dyDescent="0.35">
      <c r="A16" s="7" t="s">
        <v>16</v>
      </c>
      <c r="B16" s="7">
        <v>2023</v>
      </c>
      <c r="C16" s="7" t="s">
        <v>27</v>
      </c>
      <c r="D16" s="20" t="s">
        <v>70</v>
      </c>
      <c r="E16" s="8">
        <v>20</v>
      </c>
    </row>
    <row r="17" spans="1:5" ht="15.75" customHeight="1" x14ac:dyDescent="0.35">
      <c r="A17" s="7" t="s">
        <v>16</v>
      </c>
      <c r="B17" s="7">
        <v>2023</v>
      </c>
      <c r="C17" s="7" t="s">
        <v>27</v>
      </c>
      <c r="D17" s="20" t="s">
        <v>71</v>
      </c>
      <c r="E17" s="8">
        <v>8.3000000000000007</v>
      </c>
    </row>
    <row r="18" spans="1:5" ht="15.75" customHeight="1" x14ac:dyDescent="0.35">
      <c r="A18" s="7" t="s">
        <v>16</v>
      </c>
      <c r="B18" s="7">
        <v>2023</v>
      </c>
      <c r="C18" s="7" t="s">
        <v>28</v>
      </c>
      <c r="D18" s="20" t="s">
        <v>72</v>
      </c>
      <c r="E18" s="8">
        <v>54</v>
      </c>
    </row>
    <row r="19" spans="1:5" ht="15.75" customHeight="1" x14ac:dyDescent="0.35">
      <c r="A19" s="7" t="s">
        <v>16</v>
      </c>
      <c r="B19" s="7">
        <v>2023</v>
      </c>
      <c r="C19" s="7" t="s">
        <v>6</v>
      </c>
      <c r="D19" s="20" t="s">
        <v>73</v>
      </c>
      <c r="E19" s="8">
        <v>1600</v>
      </c>
    </row>
    <row r="20" spans="1:5" ht="15.75" customHeight="1" x14ac:dyDescent="0.35">
      <c r="A20" s="7" t="s">
        <v>17</v>
      </c>
      <c r="B20" s="7">
        <v>2023</v>
      </c>
      <c r="C20" s="7" t="s">
        <v>42</v>
      </c>
      <c r="D20" s="20" t="s">
        <v>74</v>
      </c>
      <c r="E20" s="8">
        <v>5</v>
      </c>
    </row>
    <row r="21" spans="1:5" ht="15.75" customHeight="1" x14ac:dyDescent="0.35">
      <c r="A21" s="7" t="s">
        <v>17</v>
      </c>
      <c r="B21" s="7">
        <v>2023</v>
      </c>
      <c r="C21" s="7" t="s">
        <v>42</v>
      </c>
      <c r="D21" s="20" t="s">
        <v>75</v>
      </c>
      <c r="E21" s="8">
        <v>24</v>
      </c>
    </row>
    <row r="22" spans="1:5" ht="14.5" x14ac:dyDescent="0.35">
      <c r="A22" s="7" t="s">
        <v>17</v>
      </c>
      <c r="B22" s="7">
        <v>2023</v>
      </c>
      <c r="C22" s="7" t="s">
        <v>42</v>
      </c>
      <c r="D22" s="20"/>
      <c r="E22" s="8">
        <v>8.4</v>
      </c>
    </row>
    <row r="23" spans="1:5" ht="14.5" x14ac:dyDescent="0.35">
      <c r="A23" s="7" t="s">
        <v>17</v>
      </c>
      <c r="B23" s="7">
        <v>2023</v>
      </c>
      <c r="C23" s="7" t="s">
        <v>42</v>
      </c>
      <c r="D23" s="20" t="s">
        <v>76</v>
      </c>
      <c r="E23" s="8">
        <v>8.5</v>
      </c>
    </row>
    <row r="24" spans="1:5" ht="14.5" x14ac:dyDescent="0.35">
      <c r="A24" s="7" t="s">
        <v>17</v>
      </c>
      <c r="B24" s="7">
        <v>2023</v>
      </c>
      <c r="C24" s="7" t="s">
        <v>42</v>
      </c>
      <c r="D24" s="20" t="s">
        <v>77</v>
      </c>
      <c r="E24" s="8">
        <v>20</v>
      </c>
    </row>
    <row r="25" spans="1:5" ht="14.5" x14ac:dyDescent="0.35">
      <c r="A25" s="7" t="s">
        <v>17</v>
      </c>
      <c r="B25" s="7">
        <v>2023</v>
      </c>
      <c r="C25" s="7" t="s">
        <v>28</v>
      </c>
      <c r="D25" s="20" t="s">
        <v>78</v>
      </c>
      <c r="E25" s="8">
        <v>15</v>
      </c>
    </row>
    <row r="26" spans="1:5" ht="14.5" x14ac:dyDescent="0.35">
      <c r="A26" s="7" t="s">
        <v>17</v>
      </c>
      <c r="B26" s="7">
        <v>2023</v>
      </c>
      <c r="C26" s="7" t="s">
        <v>28</v>
      </c>
      <c r="D26" s="20" t="s">
        <v>79</v>
      </c>
      <c r="E26" s="8">
        <v>7</v>
      </c>
    </row>
    <row r="27" spans="1:5" ht="14.5" x14ac:dyDescent="0.35">
      <c r="A27" s="7" t="s">
        <v>17</v>
      </c>
      <c r="B27" s="7">
        <v>2023</v>
      </c>
      <c r="C27" s="7" t="s">
        <v>25</v>
      </c>
      <c r="D27" s="20" t="s">
        <v>80</v>
      </c>
      <c r="E27" s="8">
        <v>20</v>
      </c>
    </row>
    <row r="28" spans="1:5" ht="14.5" x14ac:dyDescent="0.35">
      <c r="A28" s="7" t="s">
        <v>18</v>
      </c>
      <c r="B28" s="7">
        <v>2023</v>
      </c>
      <c r="C28" s="7" t="s">
        <v>25</v>
      </c>
      <c r="D28" s="20" t="s">
        <v>81</v>
      </c>
      <c r="E28" s="8">
        <v>69.05</v>
      </c>
    </row>
    <row r="29" spans="1:5" ht="14.5" x14ac:dyDescent="0.35">
      <c r="A29" s="7" t="s">
        <v>18</v>
      </c>
      <c r="B29" s="7">
        <v>2023</v>
      </c>
      <c r="C29" s="7" t="s">
        <v>25</v>
      </c>
      <c r="D29" s="20" t="s">
        <v>82</v>
      </c>
      <c r="E29" s="8">
        <v>40</v>
      </c>
    </row>
    <row r="30" spans="1:5" ht="14.5" x14ac:dyDescent="0.35">
      <c r="A30" s="7" t="s">
        <v>18</v>
      </c>
      <c r="B30" s="7">
        <v>2023</v>
      </c>
      <c r="C30" s="7" t="s">
        <v>25</v>
      </c>
      <c r="D30" s="20" t="s">
        <v>83</v>
      </c>
      <c r="E30" s="8">
        <v>20</v>
      </c>
    </row>
    <row r="31" spans="1:5" ht="14.5" x14ac:dyDescent="0.35">
      <c r="A31" s="7" t="s">
        <v>18</v>
      </c>
      <c r="B31" s="7">
        <v>2023</v>
      </c>
      <c r="C31" s="7" t="s">
        <v>25</v>
      </c>
      <c r="D31" s="20" t="s">
        <v>84</v>
      </c>
      <c r="E31" s="8">
        <v>21</v>
      </c>
    </row>
    <row r="32" spans="1:5" ht="14.5" x14ac:dyDescent="0.35">
      <c r="A32" s="7" t="s">
        <v>18</v>
      </c>
      <c r="B32" s="7">
        <v>2023</v>
      </c>
      <c r="C32" s="7" t="s">
        <v>25</v>
      </c>
      <c r="D32" s="20" t="s">
        <v>85</v>
      </c>
      <c r="E32" s="8">
        <v>45</v>
      </c>
    </row>
    <row r="33" spans="1:5" ht="14.5" x14ac:dyDescent="0.35">
      <c r="A33" s="7" t="s">
        <v>18</v>
      </c>
      <c r="B33" s="7">
        <v>2023</v>
      </c>
      <c r="C33" s="7" t="s">
        <v>25</v>
      </c>
      <c r="D33" s="20" t="s">
        <v>86</v>
      </c>
      <c r="E33" s="8">
        <v>49</v>
      </c>
    </row>
    <row r="34" spans="1:5" ht="14.5" x14ac:dyDescent="0.35">
      <c r="A34" s="7" t="s">
        <v>18</v>
      </c>
      <c r="B34" s="7">
        <v>2023</v>
      </c>
      <c r="C34" s="7" t="s">
        <v>25</v>
      </c>
      <c r="D34" s="20" t="s">
        <v>87</v>
      </c>
      <c r="E34" s="8">
        <v>48</v>
      </c>
    </row>
    <row r="35" spans="1:5" ht="14.5" x14ac:dyDescent="0.35">
      <c r="A35" s="7" t="s">
        <v>18</v>
      </c>
      <c r="B35" s="7">
        <v>2023</v>
      </c>
      <c r="C35" s="7" t="s">
        <v>23</v>
      </c>
      <c r="D35" s="19" t="s">
        <v>88</v>
      </c>
      <c r="E35" s="8">
        <v>50.4</v>
      </c>
    </row>
    <row r="36" spans="1:5" ht="14.5" x14ac:dyDescent="0.35">
      <c r="A36" s="7" t="s">
        <v>18</v>
      </c>
      <c r="B36" s="7">
        <v>2023</v>
      </c>
      <c r="C36" s="7" t="s">
        <v>27</v>
      </c>
      <c r="D36" s="20" t="s">
        <v>89</v>
      </c>
      <c r="E36" s="8">
        <v>6.2</v>
      </c>
    </row>
    <row r="37" spans="1:5" ht="14.5" x14ac:dyDescent="0.35">
      <c r="A37" s="7" t="s">
        <v>18</v>
      </c>
      <c r="B37" s="7">
        <v>2023</v>
      </c>
      <c r="C37" s="7" t="s">
        <v>27</v>
      </c>
      <c r="D37" s="20" t="s">
        <v>90</v>
      </c>
      <c r="E37" s="8">
        <v>12.33</v>
      </c>
    </row>
    <row r="38" spans="1:5" ht="14.5" x14ac:dyDescent="0.35">
      <c r="A38" s="7" t="s">
        <v>18</v>
      </c>
      <c r="B38" s="7">
        <v>2023</v>
      </c>
      <c r="C38" s="7" t="s">
        <v>28</v>
      </c>
      <c r="D38" s="20" t="s">
        <v>91</v>
      </c>
      <c r="E38" s="8">
        <v>11</v>
      </c>
    </row>
    <row r="39" spans="1:5" ht="14.5" x14ac:dyDescent="0.35">
      <c r="A39" s="7" t="s">
        <v>18</v>
      </c>
      <c r="B39" s="7">
        <v>2023</v>
      </c>
      <c r="C39" s="7" t="s">
        <v>28</v>
      </c>
      <c r="D39" s="20" t="s">
        <v>92</v>
      </c>
      <c r="E39" s="8">
        <v>4</v>
      </c>
    </row>
    <row r="40" spans="1:5" ht="14.5" x14ac:dyDescent="0.35">
      <c r="A40" s="7" t="s">
        <v>18</v>
      </c>
      <c r="B40" s="7">
        <v>2023</v>
      </c>
      <c r="C40" s="7" t="s">
        <v>42</v>
      </c>
      <c r="D40" s="20" t="s">
        <v>93</v>
      </c>
      <c r="E40" s="8">
        <v>1</v>
      </c>
    </row>
    <row r="41" spans="1:5" ht="14.5" x14ac:dyDescent="0.35">
      <c r="A41" s="7" t="s">
        <v>18</v>
      </c>
      <c r="B41" s="7">
        <v>2023</v>
      </c>
      <c r="C41" s="7" t="s">
        <v>42</v>
      </c>
      <c r="D41" s="20" t="s">
        <v>94</v>
      </c>
      <c r="E41" s="8">
        <v>10</v>
      </c>
    </row>
    <row r="42" spans="1:5" ht="14.5" x14ac:dyDescent="0.35">
      <c r="A42" s="7" t="s">
        <v>18</v>
      </c>
      <c r="B42" s="7">
        <v>2023</v>
      </c>
      <c r="C42" s="7" t="s">
        <v>42</v>
      </c>
      <c r="D42" s="20" t="s">
        <v>95</v>
      </c>
      <c r="E42" s="8">
        <v>3</v>
      </c>
    </row>
    <row r="43" spans="1:5" ht="14.5" x14ac:dyDescent="0.35">
      <c r="A43" s="7" t="s">
        <v>18</v>
      </c>
      <c r="B43" s="7">
        <v>2023</v>
      </c>
      <c r="C43" s="7" t="s">
        <v>42</v>
      </c>
      <c r="D43" s="20" t="s">
        <v>96</v>
      </c>
      <c r="E43" s="8">
        <v>16.8</v>
      </c>
    </row>
    <row r="44" spans="1:5" ht="14.5" x14ac:dyDescent="0.35">
      <c r="A44" s="7" t="s">
        <v>19</v>
      </c>
      <c r="B44" s="7">
        <v>2023</v>
      </c>
      <c r="C44" s="7" t="s">
        <v>42</v>
      </c>
      <c r="D44" s="20" t="s">
        <v>97</v>
      </c>
      <c r="E44" s="8">
        <v>16</v>
      </c>
    </row>
    <row r="45" spans="1:5" ht="14.5" x14ac:dyDescent="0.35">
      <c r="A45" s="7" t="s">
        <v>19</v>
      </c>
      <c r="B45" s="7">
        <v>2023</v>
      </c>
      <c r="C45" s="7" t="s">
        <v>42</v>
      </c>
      <c r="D45" s="20"/>
      <c r="E45" s="8">
        <v>5</v>
      </c>
    </row>
    <row r="46" spans="1:5" ht="14.5" x14ac:dyDescent="0.35">
      <c r="A46" s="7" t="s">
        <v>19</v>
      </c>
      <c r="B46" s="7">
        <v>2023</v>
      </c>
      <c r="C46" s="7" t="s">
        <v>42</v>
      </c>
      <c r="D46" s="20" t="s">
        <v>98</v>
      </c>
      <c r="E46" s="8">
        <v>28.5</v>
      </c>
    </row>
    <row r="47" spans="1:5" ht="14.5" x14ac:dyDescent="0.35">
      <c r="A47" s="7" t="s">
        <v>19</v>
      </c>
      <c r="B47" s="7">
        <v>2023</v>
      </c>
      <c r="C47" s="7" t="s">
        <v>42</v>
      </c>
      <c r="D47" s="20" t="s">
        <v>95</v>
      </c>
      <c r="E47" s="8">
        <v>7</v>
      </c>
    </row>
    <row r="48" spans="1:5" ht="14.5" x14ac:dyDescent="0.35">
      <c r="A48" s="7" t="s">
        <v>19</v>
      </c>
      <c r="B48" s="7">
        <v>2023</v>
      </c>
      <c r="C48" s="7" t="s">
        <v>25</v>
      </c>
      <c r="D48" s="20" t="s">
        <v>99</v>
      </c>
      <c r="E48" s="8">
        <v>41.5</v>
      </c>
    </row>
    <row r="49" spans="1:5" ht="14.5" x14ac:dyDescent="0.35">
      <c r="A49" s="7" t="s">
        <v>20</v>
      </c>
      <c r="B49" s="7">
        <v>2023</v>
      </c>
      <c r="C49" s="7" t="s">
        <v>25</v>
      </c>
      <c r="D49" s="20" t="s">
        <v>100</v>
      </c>
      <c r="E49" s="8">
        <v>125.3</v>
      </c>
    </row>
    <row r="50" spans="1:5" ht="14.5" x14ac:dyDescent="0.35">
      <c r="A50" s="7" t="s">
        <v>20</v>
      </c>
      <c r="B50" s="7">
        <v>2023</v>
      </c>
      <c r="C50" s="7" t="s">
        <v>28</v>
      </c>
      <c r="D50" s="20" t="s">
        <v>92</v>
      </c>
      <c r="E50" s="8">
        <v>16</v>
      </c>
    </row>
    <row r="51" spans="1:5" ht="14.5" x14ac:dyDescent="0.35">
      <c r="A51" s="7" t="s">
        <v>20</v>
      </c>
      <c r="B51" s="7">
        <v>2023</v>
      </c>
      <c r="C51" s="7" t="s">
        <v>42</v>
      </c>
      <c r="D51" s="20" t="s">
        <v>101</v>
      </c>
      <c r="E51" s="8">
        <v>6</v>
      </c>
    </row>
    <row r="52" spans="1:5" ht="14.5" x14ac:dyDescent="0.35">
      <c r="A52" s="7" t="s">
        <v>20</v>
      </c>
      <c r="B52" s="7">
        <v>2023</v>
      </c>
      <c r="C52" s="7" t="s">
        <v>42</v>
      </c>
      <c r="D52" s="20" t="s">
        <v>102</v>
      </c>
      <c r="E52" s="8">
        <v>436.1</v>
      </c>
    </row>
    <row r="53" spans="1:5" ht="14.5" x14ac:dyDescent="0.35">
      <c r="A53" s="7" t="s">
        <v>20</v>
      </c>
      <c r="B53" s="7">
        <v>2023</v>
      </c>
      <c r="C53" s="7" t="s">
        <v>42</v>
      </c>
      <c r="D53" s="20" t="s">
        <v>103</v>
      </c>
      <c r="E53" s="8">
        <v>9.3000000000000007</v>
      </c>
    </row>
    <row r="54" spans="1:5" ht="14.5" x14ac:dyDescent="0.35">
      <c r="A54" s="7" t="s">
        <v>20</v>
      </c>
      <c r="B54" s="7">
        <v>2023</v>
      </c>
      <c r="C54" s="7" t="s">
        <v>42</v>
      </c>
      <c r="D54" s="20" t="s">
        <v>104</v>
      </c>
      <c r="E54" s="8">
        <v>278.3</v>
      </c>
    </row>
    <row r="55" spans="1:5" ht="14.5" x14ac:dyDescent="0.35">
      <c r="A55" s="7" t="s">
        <v>9</v>
      </c>
      <c r="B55" s="7">
        <v>2023</v>
      </c>
      <c r="C55" s="7" t="s">
        <v>42</v>
      </c>
      <c r="D55" s="20" t="s">
        <v>105</v>
      </c>
      <c r="E55" s="8">
        <v>105</v>
      </c>
    </row>
    <row r="56" spans="1:5" ht="14.5" x14ac:dyDescent="0.35">
      <c r="A56" s="7" t="s">
        <v>10</v>
      </c>
      <c r="B56" s="7">
        <v>2023</v>
      </c>
      <c r="C56" s="7" t="s">
        <v>26</v>
      </c>
      <c r="D56" s="20" t="s">
        <v>106</v>
      </c>
      <c r="E56" s="8">
        <v>332</v>
      </c>
    </row>
    <row r="57" spans="1:5" ht="14.5" x14ac:dyDescent="0.35">
      <c r="A57" s="7" t="s">
        <v>10</v>
      </c>
      <c r="B57" s="7">
        <v>2023</v>
      </c>
      <c r="C57" s="7" t="s">
        <v>26</v>
      </c>
      <c r="D57" s="20" t="s">
        <v>107</v>
      </c>
      <c r="E57" s="8">
        <v>54.6</v>
      </c>
    </row>
    <row r="58" spans="1:5" ht="14.5" x14ac:dyDescent="0.35">
      <c r="A58" s="7" t="s">
        <v>10</v>
      </c>
      <c r="B58" s="7">
        <v>2023</v>
      </c>
      <c r="C58" s="7" t="s">
        <v>26</v>
      </c>
      <c r="D58" s="20" t="s">
        <v>108</v>
      </c>
      <c r="E58" s="8">
        <v>348.43</v>
      </c>
    </row>
    <row r="59" spans="1:5" ht="14.5" x14ac:dyDescent="0.35">
      <c r="A59" s="7" t="s">
        <v>10</v>
      </c>
      <c r="B59" s="7">
        <v>2023</v>
      </c>
      <c r="C59" s="7" t="s">
        <v>26</v>
      </c>
      <c r="D59" s="20" t="s">
        <v>109</v>
      </c>
      <c r="E59" s="8">
        <v>164.88</v>
      </c>
    </row>
    <row r="60" spans="1:5" ht="14.5" x14ac:dyDescent="0.35">
      <c r="A60" s="7" t="s">
        <v>10</v>
      </c>
      <c r="B60" s="7">
        <v>2023</v>
      </c>
      <c r="C60" s="7" t="s">
        <v>26</v>
      </c>
      <c r="D60" s="20" t="s">
        <v>110</v>
      </c>
      <c r="E60" s="8">
        <v>42.22</v>
      </c>
    </row>
    <row r="61" spans="1:5" ht="14.5" x14ac:dyDescent="0.35">
      <c r="A61" s="7" t="s">
        <v>10</v>
      </c>
      <c r="B61" s="7">
        <v>2023</v>
      </c>
      <c r="C61" s="7" t="s">
        <v>26</v>
      </c>
      <c r="D61" s="20" t="s">
        <v>111</v>
      </c>
      <c r="E61" s="8">
        <v>49.9</v>
      </c>
    </row>
    <row r="62" spans="1:5" ht="14.5" x14ac:dyDescent="0.35">
      <c r="A62" s="7" t="s">
        <v>10</v>
      </c>
      <c r="B62" s="7">
        <v>2023</v>
      </c>
      <c r="C62" s="7" t="s">
        <v>26</v>
      </c>
      <c r="D62" s="20" t="s">
        <v>112</v>
      </c>
      <c r="E62" s="8">
        <v>6.8</v>
      </c>
    </row>
    <row r="63" spans="1:5" ht="14.5" x14ac:dyDescent="0.35">
      <c r="A63" s="7" t="s">
        <v>10</v>
      </c>
      <c r="B63" s="7">
        <v>2023</v>
      </c>
      <c r="C63" s="7" t="s">
        <v>26</v>
      </c>
      <c r="D63" s="20" t="s">
        <v>113</v>
      </c>
      <c r="E63" s="8">
        <v>7</v>
      </c>
    </row>
    <row r="64" spans="1:5" ht="14.5" x14ac:dyDescent="0.35">
      <c r="A64" s="7" t="s">
        <v>10</v>
      </c>
      <c r="B64" s="7">
        <v>2023</v>
      </c>
      <c r="C64" s="7" t="s">
        <v>25</v>
      </c>
      <c r="D64" s="20" t="s">
        <v>114</v>
      </c>
      <c r="E64" s="8">
        <v>8.99</v>
      </c>
    </row>
    <row r="65" spans="1:5" ht="14.5" x14ac:dyDescent="0.35">
      <c r="A65" s="7" t="s">
        <v>10</v>
      </c>
      <c r="B65" s="7">
        <v>2023</v>
      </c>
      <c r="C65" s="7" t="s">
        <v>25</v>
      </c>
      <c r="D65" s="20" t="s">
        <v>115</v>
      </c>
      <c r="E65" s="8">
        <v>29.99</v>
      </c>
    </row>
    <row r="66" spans="1:5" ht="14.5" x14ac:dyDescent="0.35">
      <c r="A66" s="7" t="s">
        <v>10</v>
      </c>
      <c r="B66" s="7">
        <v>2023</v>
      </c>
      <c r="C66" s="7" t="s">
        <v>25</v>
      </c>
      <c r="D66" s="20" t="s">
        <v>116</v>
      </c>
      <c r="E66" s="8">
        <v>13.99</v>
      </c>
    </row>
    <row r="67" spans="1:5" ht="14.5" x14ac:dyDescent="0.35">
      <c r="A67" s="7" t="s">
        <v>10</v>
      </c>
      <c r="B67" s="7">
        <v>2023</v>
      </c>
      <c r="C67" s="7" t="s">
        <v>25</v>
      </c>
      <c r="D67" s="20" t="s">
        <v>117</v>
      </c>
      <c r="E67" s="8">
        <v>9</v>
      </c>
    </row>
    <row r="68" spans="1:5" ht="14.5" x14ac:dyDescent="0.35">
      <c r="A68" s="7" t="s">
        <v>10</v>
      </c>
      <c r="B68" s="7">
        <v>2023</v>
      </c>
      <c r="C68" s="7" t="s">
        <v>25</v>
      </c>
      <c r="D68" s="20" t="s">
        <v>118</v>
      </c>
      <c r="E68" s="8">
        <v>34.700000000000003</v>
      </c>
    </row>
    <row r="69" spans="1:5" ht="14.5" x14ac:dyDescent="0.35">
      <c r="A69" s="7" t="s">
        <v>10</v>
      </c>
      <c r="B69" s="7">
        <v>2023</v>
      </c>
      <c r="C69" s="7" t="s">
        <v>25</v>
      </c>
      <c r="D69" s="20" t="s">
        <v>119</v>
      </c>
      <c r="E69" s="8">
        <v>113.74</v>
      </c>
    </row>
    <row r="70" spans="1:5" ht="14.5" x14ac:dyDescent="0.35">
      <c r="A70" s="7" t="s">
        <v>11</v>
      </c>
      <c r="B70" s="7">
        <v>2023</v>
      </c>
      <c r="C70" s="7" t="s">
        <v>25</v>
      </c>
      <c r="D70" s="20" t="s">
        <v>120</v>
      </c>
      <c r="E70" s="8">
        <v>70</v>
      </c>
    </row>
    <row r="71" spans="1:5" ht="14.5" x14ac:dyDescent="0.35">
      <c r="A71" s="7" t="s">
        <v>11</v>
      </c>
      <c r="B71" s="7">
        <v>2023</v>
      </c>
      <c r="C71" s="7" t="s">
        <v>25</v>
      </c>
      <c r="D71" s="20" t="s">
        <v>121</v>
      </c>
      <c r="E71" s="8">
        <v>7</v>
      </c>
    </row>
    <row r="72" spans="1:5" ht="14.5" x14ac:dyDescent="0.35">
      <c r="A72" s="7" t="s">
        <v>11</v>
      </c>
      <c r="B72" s="7">
        <v>2023</v>
      </c>
      <c r="C72" s="7" t="s">
        <v>25</v>
      </c>
      <c r="D72" s="20" t="s">
        <v>122</v>
      </c>
      <c r="E72" s="8">
        <v>120</v>
      </c>
    </row>
    <row r="73" spans="1:5" ht="14.5" x14ac:dyDescent="0.35">
      <c r="A73" s="7" t="s">
        <v>11</v>
      </c>
      <c r="B73" s="7">
        <v>2023</v>
      </c>
      <c r="C73" s="7" t="s">
        <v>28</v>
      </c>
      <c r="D73" s="20" t="s">
        <v>123</v>
      </c>
      <c r="E73" s="8">
        <v>10</v>
      </c>
    </row>
    <row r="74" spans="1:5" ht="14.5" x14ac:dyDescent="0.35">
      <c r="A74" s="7" t="s">
        <v>11</v>
      </c>
      <c r="B74" s="7">
        <v>2023</v>
      </c>
      <c r="C74" s="7" t="s">
        <v>28</v>
      </c>
      <c r="D74" s="20" t="s">
        <v>124</v>
      </c>
      <c r="E74" s="8">
        <v>12.49</v>
      </c>
    </row>
    <row r="75" spans="1:5" ht="14.5" x14ac:dyDescent="0.35">
      <c r="A75" s="7" t="s">
        <v>11</v>
      </c>
      <c r="B75" s="7">
        <v>2023</v>
      </c>
      <c r="C75" s="7" t="s">
        <v>28</v>
      </c>
      <c r="D75" s="20" t="s">
        <v>125</v>
      </c>
      <c r="E75" s="8">
        <v>12.6</v>
      </c>
    </row>
    <row r="76" spans="1:5" ht="14.5" x14ac:dyDescent="0.35">
      <c r="A76" s="7" t="s">
        <v>11</v>
      </c>
      <c r="B76" s="7">
        <v>2023</v>
      </c>
      <c r="C76" s="7" t="s">
        <v>28</v>
      </c>
      <c r="D76" s="20" t="s">
        <v>126</v>
      </c>
      <c r="E76" s="8">
        <v>6.1</v>
      </c>
    </row>
    <row r="77" spans="1:5" ht="14.5" x14ac:dyDescent="0.35">
      <c r="A77" s="7" t="s">
        <v>11</v>
      </c>
      <c r="B77" s="7">
        <v>2023</v>
      </c>
      <c r="C77" s="7" t="s">
        <v>28</v>
      </c>
      <c r="D77" s="20" t="s">
        <v>127</v>
      </c>
      <c r="E77" s="8">
        <v>8.5</v>
      </c>
    </row>
    <row r="78" spans="1:5" ht="14.5" x14ac:dyDescent="0.35">
      <c r="A78" s="7" t="s">
        <v>11</v>
      </c>
      <c r="B78" s="7">
        <v>2023</v>
      </c>
      <c r="C78" s="7" t="s">
        <v>6</v>
      </c>
      <c r="D78" s="20" t="s">
        <v>128</v>
      </c>
      <c r="E78" s="8">
        <v>50</v>
      </c>
    </row>
    <row r="79" spans="1:5" ht="14.5" x14ac:dyDescent="0.35">
      <c r="A79" s="7" t="s">
        <v>11</v>
      </c>
      <c r="B79" s="7">
        <v>2023</v>
      </c>
      <c r="C79" s="7" t="s">
        <v>6</v>
      </c>
      <c r="D79" s="20" t="s">
        <v>128</v>
      </c>
      <c r="E79" s="8">
        <v>50</v>
      </c>
    </row>
    <row r="80" spans="1:5" ht="14.5" x14ac:dyDescent="0.35">
      <c r="A80" s="7" t="s">
        <v>11</v>
      </c>
      <c r="B80" s="7">
        <v>2023</v>
      </c>
      <c r="C80" s="7" t="s">
        <v>42</v>
      </c>
      <c r="D80" s="20" t="s">
        <v>129</v>
      </c>
      <c r="E80" s="8">
        <v>29</v>
      </c>
    </row>
    <row r="81" spans="1:5" ht="14.5" x14ac:dyDescent="0.35">
      <c r="A81" s="7" t="s">
        <v>11</v>
      </c>
      <c r="B81" s="7">
        <v>2023</v>
      </c>
      <c r="C81" s="7" t="s">
        <v>42</v>
      </c>
      <c r="D81" s="20" t="s">
        <v>130</v>
      </c>
      <c r="E81" s="8">
        <v>6.4</v>
      </c>
    </row>
    <row r="82" spans="1:5" ht="14.5" x14ac:dyDescent="0.35">
      <c r="A82" s="7" t="s">
        <v>12</v>
      </c>
      <c r="B82" s="7">
        <v>2023</v>
      </c>
      <c r="C82" s="7" t="s">
        <v>25</v>
      </c>
      <c r="D82" s="20" t="s">
        <v>131</v>
      </c>
      <c r="E82" s="8">
        <v>22</v>
      </c>
    </row>
    <row r="83" spans="1:5" ht="14.5" x14ac:dyDescent="0.35">
      <c r="A83" s="7" t="s">
        <v>12</v>
      </c>
      <c r="B83" s="7">
        <v>2023</v>
      </c>
      <c r="C83" s="7" t="s">
        <v>25</v>
      </c>
      <c r="D83" s="20" t="s">
        <v>132</v>
      </c>
      <c r="E83" s="8">
        <v>7</v>
      </c>
    </row>
    <row r="84" spans="1:5" ht="14.5" x14ac:dyDescent="0.35">
      <c r="A84" s="7" t="s">
        <v>12</v>
      </c>
      <c r="B84" s="7">
        <v>2023</v>
      </c>
      <c r="C84" s="7" t="s">
        <v>25</v>
      </c>
      <c r="D84" s="20" t="s">
        <v>133</v>
      </c>
      <c r="E84" s="8">
        <v>2</v>
      </c>
    </row>
    <row r="85" spans="1:5" ht="14.5" x14ac:dyDescent="0.35">
      <c r="A85" s="7" t="s">
        <v>12</v>
      </c>
      <c r="B85" s="7">
        <v>2023</v>
      </c>
      <c r="C85" s="7" t="s">
        <v>26</v>
      </c>
      <c r="D85" s="20" t="s">
        <v>112</v>
      </c>
      <c r="E85" s="8">
        <v>7.3</v>
      </c>
    </row>
    <row r="86" spans="1:5" ht="14.5" x14ac:dyDescent="0.35">
      <c r="A86" s="7" t="s">
        <v>12</v>
      </c>
      <c r="B86" s="7">
        <v>2023</v>
      </c>
      <c r="C86" s="7" t="s">
        <v>26</v>
      </c>
      <c r="D86" s="20" t="s">
        <v>134</v>
      </c>
      <c r="E86" s="8">
        <v>459.78</v>
      </c>
    </row>
    <row r="87" spans="1:5" ht="14.5" x14ac:dyDescent="0.35">
      <c r="A87" s="7" t="s">
        <v>12</v>
      </c>
      <c r="B87" s="7">
        <v>2023</v>
      </c>
      <c r="C87" s="7" t="s">
        <v>28</v>
      </c>
      <c r="D87" s="20" t="s">
        <v>123</v>
      </c>
      <c r="E87" s="8">
        <v>10</v>
      </c>
    </row>
    <row r="88" spans="1:5" ht="14.5" x14ac:dyDescent="0.35">
      <c r="A88" s="7" t="s">
        <v>12</v>
      </c>
      <c r="B88" s="7">
        <v>2023</v>
      </c>
      <c r="C88" s="7" t="s">
        <v>28</v>
      </c>
      <c r="D88" s="20" t="s">
        <v>127</v>
      </c>
      <c r="E88" s="8">
        <v>5</v>
      </c>
    </row>
    <row r="89" spans="1:5" ht="14.5" x14ac:dyDescent="0.35">
      <c r="A89" s="7" t="s">
        <v>12</v>
      </c>
      <c r="B89" s="7">
        <v>2023</v>
      </c>
      <c r="C89" s="7" t="s">
        <v>42</v>
      </c>
      <c r="D89" s="20" t="s">
        <v>135</v>
      </c>
      <c r="E89" s="8">
        <v>4</v>
      </c>
    </row>
    <row r="90" spans="1:5" ht="14.5" x14ac:dyDescent="0.35">
      <c r="A90" s="7" t="s">
        <v>12</v>
      </c>
      <c r="B90" s="7">
        <v>2023</v>
      </c>
      <c r="C90" s="7" t="s">
        <v>42</v>
      </c>
      <c r="D90" s="20" t="s">
        <v>136</v>
      </c>
      <c r="E90" s="8">
        <v>19</v>
      </c>
    </row>
    <row r="91" spans="1:5" ht="14.5" x14ac:dyDescent="0.35">
      <c r="A91" s="7" t="s">
        <v>12</v>
      </c>
      <c r="B91" s="7">
        <v>2023</v>
      </c>
      <c r="C91" s="7" t="s">
        <v>42</v>
      </c>
      <c r="D91" s="20" t="s">
        <v>137</v>
      </c>
      <c r="E91" s="8">
        <v>22</v>
      </c>
    </row>
    <row r="92" spans="1:5" ht="14.5" x14ac:dyDescent="0.35">
      <c r="A92" s="7" t="s">
        <v>13</v>
      </c>
      <c r="B92" s="7">
        <v>2023</v>
      </c>
      <c r="C92" s="7" t="s">
        <v>42</v>
      </c>
      <c r="D92" s="20" t="s">
        <v>129</v>
      </c>
      <c r="E92" s="8">
        <v>23</v>
      </c>
    </row>
    <row r="93" spans="1:5" ht="14.5" x14ac:dyDescent="0.35">
      <c r="A93" s="7" t="s">
        <v>13</v>
      </c>
      <c r="B93" s="7">
        <v>2023</v>
      </c>
      <c r="C93" s="7" t="s">
        <v>42</v>
      </c>
      <c r="D93" s="20" t="s">
        <v>138</v>
      </c>
      <c r="E93" s="8">
        <v>103</v>
      </c>
    </row>
    <row r="94" spans="1:5" ht="14.5" x14ac:dyDescent="0.35">
      <c r="A94" s="7" t="s">
        <v>13</v>
      </c>
      <c r="B94" s="7">
        <v>2023</v>
      </c>
      <c r="C94" s="7" t="s">
        <v>25</v>
      </c>
      <c r="D94" s="20" t="s">
        <v>139</v>
      </c>
      <c r="E94" s="8">
        <v>66.33</v>
      </c>
    </row>
    <row r="95" spans="1:5" ht="14.5" x14ac:dyDescent="0.35">
      <c r="A95" s="7" t="s">
        <v>13</v>
      </c>
      <c r="B95" s="7">
        <v>2023</v>
      </c>
      <c r="C95" s="7" t="s">
        <v>25</v>
      </c>
      <c r="D95" s="20" t="s">
        <v>140</v>
      </c>
      <c r="E95" s="8">
        <v>45.48</v>
      </c>
    </row>
    <row r="96" spans="1:5" ht="14.5" x14ac:dyDescent="0.35">
      <c r="A96" s="7" t="s">
        <v>13</v>
      </c>
      <c r="B96" s="7">
        <v>2023</v>
      </c>
      <c r="C96" s="7" t="s">
        <v>25</v>
      </c>
      <c r="D96" s="20"/>
      <c r="E96" s="8">
        <v>22.3</v>
      </c>
    </row>
    <row r="97" spans="1:5" ht="14.5" x14ac:dyDescent="0.35">
      <c r="A97" s="7" t="s">
        <v>13</v>
      </c>
      <c r="B97" s="7">
        <v>2023</v>
      </c>
      <c r="C97" s="7" t="s">
        <v>25</v>
      </c>
      <c r="D97" s="20" t="s">
        <v>141</v>
      </c>
      <c r="E97" s="8">
        <v>60.42</v>
      </c>
    </row>
    <row r="98" spans="1:5" ht="14.5" x14ac:dyDescent="0.35">
      <c r="A98" s="7" t="s">
        <v>13</v>
      </c>
      <c r="B98" s="7">
        <v>2023</v>
      </c>
      <c r="C98" s="7" t="s">
        <v>25</v>
      </c>
      <c r="D98" s="20"/>
      <c r="E98" s="8">
        <v>-24.11</v>
      </c>
    </row>
    <row r="99" spans="1:5" ht="14.5" x14ac:dyDescent="0.35">
      <c r="A99" s="7" t="s">
        <v>13</v>
      </c>
      <c r="B99" s="7">
        <v>2023</v>
      </c>
      <c r="C99" s="7" t="s">
        <v>25</v>
      </c>
      <c r="D99" s="20" t="s">
        <v>142</v>
      </c>
      <c r="E99" s="8">
        <v>41.24</v>
      </c>
    </row>
    <row r="100" spans="1:5" ht="14.5" x14ac:dyDescent="0.35">
      <c r="A100" s="7" t="s">
        <v>14</v>
      </c>
      <c r="B100" s="7">
        <v>2023</v>
      </c>
      <c r="C100" s="7" t="s">
        <v>26</v>
      </c>
      <c r="D100" s="20" t="s">
        <v>143</v>
      </c>
      <c r="E100" s="8">
        <v>184</v>
      </c>
    </row>
    <row r="101" spans="1:5" ht="14.5" x14ac:dyDescent="0.35">
      <c r="A101" s="7" t="s">
        <v>14</v>
      </c>
      <c r="B101" s="7">
        <v>2023</v>
      </c>
      <c r="C101" s="7" t="s">
        <v>26</v>
      </c>
      <c r="D101" s="20" t="s">
        <v>144</v>
      </c>
      <c r="E101" s="8">
        <v>12</v>
      </c>
    </row>
    <row r="102" spans="1:5" ht="14.5" x14ac:dyDescent="0.35">
      <c r="A102" s="7" t="s">
        <v>14</v>
      </c>
      <c r="B102" s="7">
        <v>2023</v>
      </c>
      <c r="C102" s="7" t="s">
        <v>26</v>
      </c>
      <c r="D102" s="20" t="s">
        <v>145</v>
      </c>
      <c r="E102" s="8">
        <v>12.5</v>
      </c>
    </row>
    <row r="103" spans="1:5" ht="14.5" x14ac:dyDescent="0.35">
      <c r="A103" s="7" t="s">
        <v>14</v>
      </c>
      <c r="B103" s="7">
        <v>2023</v>
      </c>
      <c r="C103" s="7" t="s">
        <v>26</v>
      </c>
      <c r="D103" s="20" t="s">
        <v>146</v>
      </c>
      <c r="E103" s="8">
        <v>51.6</v>
      </c>
    </row>
    <row r="104" spans="1:5" ht="14.5" x14ac:dyDescent="0.35">
      <c r="A104" s="7" t="s">
        <v>14</v>
      </c>
      <c r="B104" s="7">
        <v>2023</v>
      </c>
      <c r="C104" s="7" t="s">
        <v>26</v>
      </c>
      <c r="D104" s="20" t="s">
        <v>147</v>
      </c>
      <c r="E104" s="8">
        <v>87</v>
      </c>
    </row>
    <row r="105" spans="1:5" ht="14.5" x14ac:dyDescent="0.35">
      <c r="A105" s="7" t="s">
        <v>14</v>
      </c>
      <c r="B105" s="7">
        <v>2023</v>
      </c>
      <c r="C105" s="7" t="s">
        <v>26</v>
      </c>
      <c r="D105" s="20" t="s">
        <v>148</v>
      </c>
      <c r="E105" s="8">
        <v>208</v>
      </c>
    </row>
    <row r="106" spans="1:5" ht="14.5" x14ac:dyDescent="0.35">
      <c r="A106" s="7" t="s">
        <v>14</v>
      </c>
      <c r="B106" s="7">
        <v>2023</v>
      </c>
      <c r="C106" s="7" t="s">
        <v>26</v>
      </c>
      <c r="D106" s="20" t="s">
        <v>149</v>
      </c>
      <c r="E106" s="8">
        <v>20.3</v>
      </c>
    </row>
    <row r="107" spans="1:5" ht="14.5" x14ac:dyDescent="0.35">
      <c r="A107" s="7" t="s">
        <v>14</v>
      </c>
      <c r="B107" s="7">
        <v>2023</v>
      </c>
      <c r="C107" s="7" t="s">
        <v>27</v>
      </c>
      <c r="D107" s="20" t="s">
        <v>150</v>
      </c>
      <c r="E107" s="8">
        <v>7</v>
      </c>
    </row>
    <row r="108" spans="1:5" ht="14.5" x14ac:dyDescent="0.35">
      <c r="A108" s="7" t="s">
        <v>14</v>
      </c>
      <c r="B108" s="7">
        <v>2023</v>
      </c>
      <c r="C108" s="7" t="s">
        <v>27</v>
      </c>
      <c r="D108" s="20" t="s">
        <v>147</v>
      </c>
      <c r="E108" s="8">
        <v>37</v>
      </c>
    </row>
    <row r="109" spans="1:5" ht="14.5" x14ac:dyDescent="0.35">
      <c r="A109" s="7" t="s">
        <v>14</v>
      </c>
      <c r="B109" s="7">
        <v>2023</v>
      </c>
      <c r="C109" s="7" t="s">
        <v>27</v>
      </c>
      <c r="D109" s="20" t="s">
        <v>148</v>
      </c>
      <c r="E109" s="8">
        <v>72</v>
      </c>
    </row>
    <row r="110" spans="1:5" ht="14.5" x14ac:dyDescent="0.35">
      <c r="A110" s="7" t="s">
        <v>14</v>
      </c>
      <c r="B110" s="7">
        <v>2023</v>
      </c>
      <c r="C110" s="7" t="s">
        <v>27</v>
      </c>
      <c r="D110" s="20" t="s">
        <v>151</v>
      </c>
      <c r="E110" s="8">
        <v>45</v>
      </c>
    </row>
    <row r="111" spans="1:5" ht="14.5" x14ac:dyDescent="0.35">
      <c r="A111" s="7" t="s">
        <v>14</v>
      </c>
      <c r="B111" s="7">
        <v>2023</v>
      </c>
      <c r="C111" s="7" t="s">
        <v>42</v>
      </c>
      <c r="D111" s="20" t="s">
        <v>112</v>
      </c>
      <c r="E111" s="8">
        <v>8.6999999999999993</v>
      </c>
    </row>
    <row r="112" spans="1:5" ht="14.5" x14ac:dyDescent="0.35">
      <c r="A112" s="7" t="s">
        <v>14</v>
      </c>
      <c r="B112" s="7">
        <v>2023</v>
      </c>
      <c r="C112" s="7" t="s">
        <v>42</v>
      </c>
      <c r="D112" s="20" t="s">
        <v>152</v>
      </c>
      <c r="E112" s="8">
        <v>45</v>
      </c>
    </row>
    <row r="113" spans="1:5" ht="14.5" x14ac:dyDescent="0.35">
      <c r="A113" s="7" t="s">
        <v>14</v>
      </c>
      <c r="B113" s="7">
        <v>2023</v>
      </c>
      <c r="C113" s="7" t="s">
        <v>42</v>
      </c>
      <c r="D113" s="20" t="s">
        <v>153</v>
      </c>
      <c r="E113" s="8">
        <v>8.07</v>
      </c>
    </row>
    <row r="114" spans="1:5" ht="14.5" x14ac:dyDescent="0.35">
      <c r="A114" s="7" t="s">
        <v>15</v>
      </c>
      <c r="B114" s="7">
        <v>2024</v>
      </c>
      <c r="C114" s="7" t="s">
        <v>25</v>
      </c>
      <c r="D114" s="20" t="s">
        <v>154</v>
      </c>
      <c r="E114" s="8">
        <v>55.38</v>
      </c>
    </row>
    <row r="115" spans="1:5" ht="14.5" x14ac:dyDescent="0.35">
      <c r="A115" s="7" t="s">
        <v>15</v>
      </c>
      <c r="B115" s="7">
        <v>2024</v>
      </c>
      <c r="C115" s="7" t="s">
        <v>26</v>
      </c>
      <c r="D115" s="20" t="s">
        <v>155</v>
      </c>
      <c r="E115" s="8">
        <v>95</v>
      </c>
    </row>
    <row r="116" spans="1:5" ht="14.5" x14ac:dyDescent="0.35">
      <c r="A116" s="7" t="s">
        <v>15</v>
      </c>
      <c r="B116" s="7">
        <v>2024</v>
      </c>
      <c r="C116" s="7" t="s">
        <v>27</v>
      </c>
      <c r="D116" s="20" t="s">
        <v>156</v>
      </c>
      <c r="E116" s="8">
        <v>140</v>
      </c>
    </row>
    <row r="117" spans="1:5" ht="14.5" x14ac:dyDescent="0.35">
      <c r="A117" s="7" t="s">
        <v>15</v>
      </c>
      <c r="B117" s="7">
        <v>2024</v>
      </c>
      <c r="C117" s="7" t="s">
        <v>27</v>
      </c>
      <c r="D117" s="20" t="s">
        <v>112</v>
      </c>
      <c r="E117" s="8">
        <v>16.8</v>
      </c>
    </row>
    <row r="118" spans="1:5" ht="14.5" x14ac:dyDescent="0.35">
      <c r="A118" s="7" t="s">
        <v>15</v>
      </c>
      <c r="B118" s="7">
        <v>2024</v>
      </c>
      <c r="C118" s="7" t="s">
        <v>27</v>
      </c>
      <c r="D118" s="20" t="s">
        <v>135</v>
      </c>
      <c r="E118" s="8">
        <v>4.1900000000000004</v>
      </c>
    </row>
    <row r="119" spans="1:5" ht="14.5" x14ac:dyDescent="0.35">
      <c r="A119" s="7" t="s">
        <v>15</v>
      </c>
      <c r="B119" s="7">
        <v>2024</v>
      </c>
      <c r="C119" s="7" t="s">
        <v>27</v>
      </c>
      <c r="D119" s="20" t="s">
        <v>145</v>
      </c>
      <c r="E119" s="8">
        <v>9.5399999999999991</v>
      </c>
    </row>
    <row r="120" spans="1:5" ht="14.5" x14ac:dyDescent="0.35">
      <c r="A120" s="7" t="s">
        <v>15</v>
      </c>
      <c r="B120" s="7">
        <v>2024</v>
      </c>
      <c r="C120" s="7" t="s">
        <v>27</v>
      </c>
      <c r="D120" s="20" t="s">
        <v>157</v>
      </c>
      <c r="E120" s="8">
        <v>17.5</v>
      </c>
    </row>
    <row r="121" spans="1:5" ht="14.5" x14ac:dyDescent="0.35">
      <c r="A121" s="7" t="s">
        <v>15</v>
      </c>
      <c r="B121" s="7">
        <v>2024</v>
      </c>
      <c r="C121" s="7" t="s">
        <v>27</v>
      </c>
      <c r="D121" s="20" t="s">
        <v>110</v>
      </c>
      <c r="E121" s="8">
        <v>47.04</v>
      </c>
    </row>
    <row r="122" spans="1:5" ht="12.5" x14ac:dyDescent="0.25">
      <c r="A122" s="7" t="s">
        <v>15</v>
      </c>
      <c r="B122" s="7">
        <v>2024</v>
      </c>
      <c r="C122" s="7" t="s">
        <v>23</v>
      </c>
      <c r="D122" s="7" t="s">
        <v>158</v>
      </c>
      <c r="E122" s="7">
        <v>21</v>
      </c>
    </row>
    <row r="123" spans="1:5" ht="14.5" x14ac:dyDescent="0.35">
      <c r="A123" s="7" t="s">
        <v>16</v>
      </c>
      <c r="B123" s="7">
        <v>2024</v>
      </c>
      <c r="C123" s="7" t="s">
        <v>25</v>
      </c>
      <c r="D123" s="20" t="s">
        <v>159</v>
      </c>
      <c r="E123" s="8">
        <v>10</v>
      </c>
    </row>
    <row r="124" spans="1:5" ht="14.5" x14ac:dyDescent="0.35">
      <c r="A124" s="7" t="s">
        <v>16</v>
      </c>
      <c r="B124" s="7">
        <v>2024</v>
      </c>
      <c r="C124" s="7" t="s">
        <v>26</v>
      </c>
      <c r="D124" s="20" t="s">
        <v>147</v>
      </c>
      <c r="E124" s="8">
        <v>50</v>
      </c>
    </row>
    <row r="125" spans="1:5" ht="14.5" x14ac:dyDescent="0.35">
      <c r="A125" s="7" t="s">
        <v>16</v>
      </c>
      <c r="B125" s="7">
        <v>2024</v>
      </c>
      <c r="C125" s="7" t="s">
        <v>26</v>
      </c>
      <c r="D125" s="20" t="s">
        <v>148</v>
      </c>
      <c r="E125" s="8">
        <v>7</v>
      </c>
    </row>
    <row r="126" spans="1:5" ht="14.5" x14ac:dyDescent="0.35">
      <c r="A126" s="7" t="s">
        <v>16</v>
      </c>
      <c r="B126" s="7">
        <v>2024</v>
      </c>
      <c r="C126" s="7" t="s">
        <v>26</v>
      </c>
      <c r="D126" s="20" t="s">
        <v>145</v>
      </c>
      <c r="E126" s="8">
        <v>8.1999999999999993</v>
      </c>
    </row>
    <row r="127" spans="1:5" ht="14.5" x14ac:dyDescent="0.35">
      <c r="A127" s="7" t="s">
        <v>16</v>
      </c>
      <c r="B127" s="7">
        <v>2024</v>
      </c>
      <c r="C127" s="7" t="s">
        <v>26</v>
      </c>
      <c r="D127" s="20" t="s">
        <v>112</v>
      </c>
      <c r="E127" s="8">
        <v>13</v>
      </c>
    </row>
    <row r="128" spans="1:5" ht="14.5" x14ac:dyDescent="0.35">
      <c r="A128" s="7" t="s">
        <v>16</v>
      </c>
      <c r="B128" s="7">
        <v>2024</v>
      </c>
      <c r="C128" s="7" t="s">
        <v>26</v>
      </c>
      <c r="D128" s="20" t="s">
        <v>110</v>
      </c>
      <c r="E128" s="8">
        <v>20</v>
      </c>
    </row>
    <row r="129" spans="1:5" ht="14.5" x14ac:dyDescent="0.35">
      <c r="A129" s="7" t="s">
        <v>16</v>
      </c>
      <c r="B129" s="7">
        <v>2024</v>
      </c>
      <c r="C129" s="7" t="s">
        <v>26</v>
      </c>
      <c r="D129" s="20" t="s">
        <v>160</v>
      </c>
      <c r="E129" s="8">
        <v>38</v>
      </c>
    </row>
    <row r="130" spans="1:5" ht="14.5" x14ac:dyDescent="0.35">
      <c r="A130" s="7" t="s">
        <v>16</v>
      </c>
      <c r="B130" s="7">
        <v>2024</v>
      </c>
      <c r="C130" s="7" t="s">
        <v>26</v>
      </c>
      <c r="D130" s="20" t="s">
        <v>161</v>
      </c>
      <c r="E130" s="8">
        <v>120</v>
      </c>
    </row>
    <row r="131" spans="1:5" ht="14.5" x14ac:dyDescent="0.35">
      <c r="A131" s="7" t="s">
        <v>16</v>
      </c>
      <c r="B131" s="7">
        <v>2024</v>
      </c>
      <c r="C131" s="7" t="s">
        <v>25</v>
      </c>
      <c r="D131" s="20" t="s">
        <v>162</v>
      </c>
      <c r="E131" s="8">
        <v>262.79000000000002</v>
      </c>
    </row>
    <row r="132" spans="1:5" ht="14.5" x14ac:dyDescent="0.35">
      <c r="A132" s="7" t="s">
        <v>16</v>
      </c>
      <c r="B132" s="7">
        <v>2024</v>
      </c>
      <c r="C132" s="7" t="s">
        <v>25</v>
      </c>
      <c r="D132" s="20"/>
      <c r="E132" s="8">
        <v>16.66</v>
      </c>
    </row>
    <row r="133" spans="1:5" ht="14.5" x14ac:dyDescent="0.35">
      <c r="A133" s="7" t="s">
        <v>16</v>
      </c>
      <c r="B133" s="7">
        <v>2024</v>
      </c>
      <c r="C133" s="7" t="s">
        <v>25</v>
      </c>
      <c r="D133" s="20"/>
      <c r="E133" s="8">
        <v>25.85</v>
      </c>
    </row>
    <row r="134" spans="1:5" ht="14.5" x14ac:dyDescent="0.35">
      <c r="A134" s="7" t="s">
        <v>16</v>
      </c>
      <c r="B134" s="7">
        <v>2024</v>
      </c>
      <c r="C134" s="7" t="s">
        <v>25</v>
      </c>
      <c r="D134" s="20" t="s">
        <v>163</v>
      </c>
      <c r="E134" s="8">
        <v>16.5</v>
      </c>
    </row>
    <row r="135" spans="1:5" ht="14.5" x14ac:dyDescent="0.35">
      <c r="A135" s="7" t="s">
        <v>16</v>
      </c>
      <c r="B135" s="7">
        <v>2024</v>
      </c>
      <c r="C135" s="7" t="s">
        <v>25</v>
      </c>
      <c r="D135" s="20" t="s">
        <v>141</v>
      </c>
      <c r="E135" s="8">
        <v>52.42</v>
      </c>
    </row>
    <row r="136" spans="1:5" ht="14.5" x14ac:dyDescent="0.35">
      <c r="A136" s="7" t="s">
        <v>16</v>
      </c>
      <c r="B136" s="7">
        <v>2024</v>
      </c>
      <c r="C136" s="7" t="s">
        <v>42</v>
      </c>
      <c r="D136" s="20" t="s">
        <v>130</v>
      </c>
      <c r="E136" s="8">
        <v>5</v>
      </c>
    </row>
    <row r="137" spans="1:5" ht="14.5" x14ac:dyDescent="0.35">
      <c r="A137" s="7" t="s">
        <v>16</v>
      </c>
      <c r="B137" s="7">
        <v>2024</v>
      </c>
      <c r="C137" s="7" t="s">
        <v>42</v>
      </c>
      <c r="D137" s="20" t="s">
        <v>164</v>
      </c>
      <c r="E137" s="8">
        <v>20</v>
      </c>
    </row>
    <row r="138" spans="1:5" ht="14.5" x14ac:dyDescent="0.35">
      <c r="A138" s="7" t="s">
        <v>16</v>
      </c>
      <c r="B138" s="7">
        <v>2024</v>
      </c>
      <c r="C138" s="7" t="s">
        <v>42</v>
      </c>
      <c r="D138" s="20" t="s">
        <v>165</v>
      </c>
      <c r="E138" s="8">
        <v>250</v>
      </c>
    </row>
    <row r="139" spans="1:5" ht="14.5" x14ac:dyDescent="0.35">
      <c r="A139" s="7" t="s">
        <v>17</v>
      </c>
      <c r="B139" s="7">
        <v>2024</v>
      </c>
      <c r="C139" s="7" t="s">
        <v>42</v>
      </c>
      <c r="D139" s="20" t="s">
        <v>166</v>
      </c>
      <c r="E139" s="8">
        <v>2</v>
      </c>
    </row>
    <row r="140" spans="1:5" ht="14.5" x14ac:dyDescent="0.35">
      <c r="A140" s="7" t="s">
        <v>17</v>
      </c>
      <c r="B140" s="7">
        <v>2024</v>
      </c>
      <c r="C140" s="7" t="s">
        <v>42</v>
      </c>
      <c r="D140" s="20" t="s">
        <v>129</v>
      </c>
      <c r="E140" s="8">
        <v>22.5</v>
      </c>
    </row>
    <row r="141" spans="1:5" ht="14.5" x14ac:dyDescent="0.35">
      <c r="A141" s="7" t="s">
        <v>17</v>
      </c>
      <c r="B141" s="7">
        <v>2024</v>
      </c>
      <c r="C141" s="7" t="s">
        <v>42</v>
      </c>
      <c r="D141" s="20" t="s">
        <v>167</v>
      </c>
      <c r="E141" s="8">
        <v>21</v>
      </c>
    </row>
    <row r="142" spans="1:5" ht="14.5" x14ac:dyDescent="0.35">
      <c r="A142" s="7" t="s">
        <v>17</v>
      </c>
      <c r="B142" s="7">
        <v>2024</v>
      </c>
      <c r="C142" s="7" t="s">
        <v>42</v>
      </c>
      <c r="D142" s="20" t="s">
        <v>168</v>
      </c>
      <c r="E142" s="8">
        <v>975</v>
      </c>
    </row>
    <row r="143" spans="1:5" ht="14.5" x14ac:dyDescent="0.35">
      <c r="A143" s="7" t="s">
        <v>18</v>
      </c>
      <c r="B143" s="7">
        <v>2024</v>
      </c>
      <c r="C143" s="7" t="s">
        <v>42</v>
      </c>
      <c r="D143" s="20" t="s">
        <v>169</v>
      </c>
      <c r="E143" s="8">
        <v>58</v>
      </c>
    </row>
    <row r="144" spans="1:5" ht="14.5" x14ac:dyDescent="0.35">
      <c r="A144" s="7" t="s">
        <v>18</v>
      </c>
      <c r="B144" s="7">
        <v>2024</v>
      </c>
      <c r="C144" s="7" t="s">
        <v>42</v>
      </c>
      <c r="D144" s="20" t="s">
        <v>170</v>
      </c>
      <c r="E144" s="8">
        <v>15</v>
      </c>
    </row>
    <row r="145" spans="1:5" ht="14.5" x14ac:dyDescent="0.35">
      <c r="A145" s="7" t="s">
        <v>18</v>
      </c>
      <c r="B145" s="7">
        <v>2024</v>
      </c>
      <c r="C145" s="7" t="s">
        <v>42</v>
      </c>
      <c r="D145" s="20" t="s">
        <v>171</v>
      </c>
      <c r="E145" s="8">
        <v>10.9</v>
      </c>
    </row>
    <row r="146" spans="1:5" ht="14.5" x14ac:dyDescent="0.35">
      <c r="A146" s="7" t="s">
        <v>18</v>
      </c>
      <c r="B146" s="7">
        <v>2024</v>
      </c>
      <c r="C146" s="7" t="s">
        <v>42</v>
      </c>
      <c r="D146" s="20" t="s">
        <v>172</v>
      </c>
      <c r="E146" s="8">
        <v>45</v>
      </c>
    </row>
    <row r="147" spans="1:5" ht="14.5" x14ac:dyDescent="0.35">
      <c r="A147" s="7" t="s">
        <v>18</v>
      </c>
      <c r="B147" s="7">
        <v>2024</v>
      </c>
      <c r="C147" s="7" t="s">
        <v>6</v>
      </c>
      <c r="D147" s="20" t="s">
        <v>173</v>
      </c>
      <c r="E147" s="8">
        <v>70</v>
      </c>
    </row>
    <row r="148" spans="1:5" ht="14.5" x14ac:dyDescent="0.35">
      <c r="A148" s="7" t="s">
        <v>18</v>
      </c>
      <c r="B148" s="7">
        <v>2024</v>
      </c>
      <c r="C148" s="7" t="s">
        <v>6</v>
      </c>
      <c r="D148" s="20" t="s">
        <v>174</v>
      </c>
      <c r="E148" s="8">
        <v>15</v>
      </c>
    </row>
    <row r="149" spans="1:5" ht="14.5" x14ac:dyDescent="0.35">
      <c r="A149" s="7" t="s">
        <v>19</v>
      </c>
      <c r="B149" s="7">
        <v>2024</v>
      </c>
      <c r="C149" s="7" t="s">
        <v>25</v>
      </c>
      <c r="D149" s="20" t="s">
        <v>175</v>
      </c>
      <c r="E149" s="8">
        <v>69.959999999999994</v>
      </c>
    </row>
    <row r="150" spans="1:5" ht="14.5" x14ac:dyDescent="0.35">
      <c r="A150" s="7" t="s">
        <v>19</v>
      </c>
      <c r="B150" s="7">
        <v>2024</v>
      </c>
      <c r="C150" s="7" t="s">
        <v>25</v>
      </c>
      <c r="D150" s="20"/>
      <c r="E150" s="8">
        <v>31.38</v>
      </c>
    </row>
    <row r="151" spans="1:5" ht="14.5" x14ac:dyDescent="0.35">
      <c r="A151" s="7" t="s">
        <v>19</v>
      </c>
      <c r="B151" s="7">
        <v>2024</v>
      </c>
      <c r="C151" s="7" t="s">
        <v>26</v>
      </c>
      <c r="D151" s="20" t="s">
        <v>176</v>
      </c>
      <c r="E151" s="8">
        <v>40.130000000000003</v>
      </c>
    </row>
    <row r="152" spans="1:5" ht="14.5" x14ac:dyDescent="0.35">
      <c r="A152" s="7" t="s">
        <v>9</v>
      </c>
      <c r="B152" s="7">
        <v>2024</v>
      </c>
      <c r="C152" s="7" t="s">
        <v>42</v>
      </c>
      <c r="D152" s="20" t="s">
        <v>177</v>
      </c>
      <c r="E152" s="8">
        <v>10</v>
      </c>
    </row>
    <row r="153" spans="1:5" ht="14.5" x14ac:dyDescent="0.35">
      <c r="A153" s="7" t="s">
        <v>9</v>
      </c>
      <c r="B153" s="7">
        <v>2024</v>
      </c>
      <c r="C153" s="7" t="s">
        <v>42</v>
      </c>
      <c r="D153" s="20" t="s">
        <v>178</v>
      </c>
      <c r="E153" s="8">
        <v>180</v>
      </c>
    </row>
    <row r="154" spans="1:5" ht="14.5" x14ac:dyDescent="0.35">
      <c r="A154" s="7" t="s">
        <v>9</v>
      </c>
      <c r="B154" s="7">
        <v>2024</v>
      </c>
      <c r="C154" s="7" t="s">
        <v>42</v>
      </c>
      <c r="D154" s="20" t="s">
        <v>179</v>
      </c>
      <c r="E154" s="8">
        <v>22.22</v>
      </c>
    </row>
    <row r="155" spans="1:5" ht="14.5" x14ac:dyDescent="0.35">
      <c r="A155" s="7" t="s">
        <v>9</v>
      </c>
      <c r="B155" s="7">
        <v>2024</v>
      </c>
      <c r="C155" s="7" t="s">
        <v>26</v>
      </c>
      <c r="D155" s="20" t="s">
        <v>180</v>
      </c>
      <c r="E155" s="8">
        <f>1.3+330.5</f>
        <v>331.8</v>
      </c>
    </row>
    <row r="156" spans="1:5" ht="14.5" x14ac:dyDescent="0.35">
      <c r="A156" s="7" t="s">
        <v>10</v>
      </c>
      <c r="B156" s="7">
        <v>2024</v>
      </c>
      <c r="C156" s="7" t="s">
        <v>6</v>
      </c>
      <c r="D156" s="20" t="s">
        <v>181</v>
      </c>
      <c r="E156" s="8">
        <v>200</v>
      </c>
    </row>
    <row r="157" spans="1:5" ht="14.5" x14ac:dyDescent="0.35">
      <c r="A157" s="7" t="s">
        <v>10</v>
      </c>
      <c r="B157" s="7">
        <v>2024</v>
      </c>
      <c r="C157" s="7" t="s">
        <v>26</v>
      </c>
      <c r="D157" s="20" t="s">
        <v>182</v>
      </c>
      <c r="E157" s="8">
        <v>341.24</v>
      </c>
    </row>
    <row r="158" spans="1:5" ht="14.5" x14ac:dyDescent="0.35">
      <c r="A158" s="7" t="s">
        <v>10</v>
      </c>
      <c r="B158" s="7">
        <v>2024</v>
      </c>
      <c r="C158" s="7" t="s">
        <v>25</v>
      </c>
      <c r="D158" s="20" t="s">
        <v>183</v>
      </c>
      <c r="E158" s="8">
        <v>19.48</v>
      </c>
    </row>
    <row r="159" spans="1:5" ht="14.5" x14ac:dyDescent="0.35">
      <c r="A159" s="7" t="s">
        <v>11</v>
      </c>
      <c r="B159" s="7">
        <v>2024</v>
      </c>
      <c r="C159" s="7" t="s">
        <v>26</v>
      </c>
      <c r="D159" s="20" t="s">
        <v>184</v>
      </c>
      <c r="E159" s="8">
        <v>57.99</v>
      </c>
    </row>
    <row r="160" spans="1:5" ht="14.5" x14ac:dyDescent="0.35">
      <c r="A160" s="7" t="s">
        <v>11</v>
      </c>
      <c r="B160" s="7">
        <v>2024</v>
      </c>
      <c r="C160" s="7" t="s">
        <v>26</v>
      </c>
      <c r="D160" s="20" t="s">
        <v>185</v>
      </c>
      <c r="E160" s="8">
        <v>35.99</v>
      </c>
    </row>
    <row r="161" spans="1:5" ht="14.5" x14ac:dyDescent="0.35">
      <c r="A161" s="7" t="s">
        <v>12</v>
      </c>
      <c r="B161" s="7">
        <v>2024</v>
      </c>
      <c r="C161" s="7" t="s">
        <v>25</v>
      </c>
      <c r="D161" s="20" t="s">
        <v>186</v>
      </c>
      <c r="E161" s="8">
        <v>35</v>
      </c>
    </row>
    <row r="162" spans="1:5" ht="14.5" x14ac:dyDescent="0.35">
      <c r="A162" s="7" t="s">
        <v>12</v>
      </c>
      <c r="B162" s="7">
        <v>2024</v>
      </c>
      <c r="C162" s="7" t="s">
        <v>25</v>
      </c>
      <c r="D162" s="20" t="s">
        <v>187</v>
      </c>
      <c r="E162" s="8">
        <v>67.28</v>
      </c>
    </row>
    <row r="163" spans="1:5" ht="14.5" x14ac:dyDescent="0.35">
      <c r="A163" s="7" t="s">
        <v>12</v>
      </c>
      <c r="B163" s="7">
        <v>2024</v>
      </c>
      <c r="C163" s="7" t="s">
        <v>25</v>
      </c>
      <c r="D163" s="20" t="s">
        <v>188</v>
      </c>
      <c r="E163" s="8">
        <v>23</v>
      </c>
    </row>
    <row r="164" spans="1:5" ht="14" x14ac:dyDescent="0.3">
      <c r="A164" s="7" t="s">
        <v>12</v>
      </c>
      <c r="B164" s="7">
        <v>2024</v>
      </c>
      <c r="C164" s="7" t="s">
        <v>28</v>
      </c>
      <c r="D164" s="20" t="s">
        <v>189</v>
      </c>
      <c r="E164" s="21">
        <v>44.98</v>
      </c>
    </row>
    <row r="165" spans="1:5" ht="14.5" x14ac:dyDescent="0.35">
      <c r="A165" s="7" t="s">
        <v>13</v>
      </c>
      <c r="B165" s="7">
        <v>2024</v>
      </c>
      <c r="C165" s="7" t="s">
        <v>26</v>
      </c>
      <c r="D165" s="20" t="s">
        <v>190</v>
      </c>
      <c r="E165" s="8">
        <v>91.85</v>
      </c>
    </row>
    <row r="166" spans="1:5" ht="14.5" x14ac:dyDescent="0.35">
      <c r="A166" s="7" t="s">
        <v>13</v>
      </c>
      <c r="B166" s="7">
        <v>2024</v>
      </c>
      <c r="C166" s="7" t="s">
        <v>27</v>
      </c>
      <c r="D166" s="20" t="s">
        <v>191</v>
      </c>
      <c r="E166" s="8">
        <v>94.2</v>
      </c>
    </row>
    <row r="167" spans="1:5" ht="14.5" x14ac:dyDescent="0.35">
      <c r="A167" s="7" t="s">
        <v>13</v>
      </c>
      <c r="B167" s="7">
        <v>2024</v>
      </c>
      <c r="C167" s="7" t="s">
        <v>25</v>
      </c>
      <c r="D167" s="20" t="s">
        <v>122</v>
      </c>
      <c r="E167" s="8">
        <v>47.09</v>
      </c>
    </row>
    <row r="168" spans="1:5" ht="14.5" x14ac:dyDescent="0.35">
      <c r="A168" s="7" t="s">
        <v>13</v>
      </c>
      <c r="B168" s="7">
        <v>2024</v>
      </c>
      <c r="C168" s="7" t="s">
        <v>25</v>
      </c>
      <c r="D168" s="20" t="s">
        <v>192</v>
      </c>
      <c r="E168" s="8">
        <v>85</v>
      </c>
    </row>
    <row r="169" spans="1:5" ht="14.5" x14ac:dyDescent="0.35">
      <c r="A169" s="7" t="s">
        <v>14</v>
      </c>
      <c r="B169" s="7">
        <v>2024</v>
      </c>
      <c r="C169" s="7" t="s">
        <v>26</v>
      </c>
      <c r="D169" s="20" t="s">
        <v>110</v>
      </c>
      <c r="E169" s="8">
        <v>34</v>
      </c>
    </row>
    <row r="170" spans="1:5" ht="14.5" x14ac:dyDescent="0.35">
      <c r="A170" s="7" t="s">
        <v>14</v>
      </c>
      <c r="B170" s="7">
        <v>2024</v>
      </c>
      <c r="C170" s="7" t="s">
        <v>26</v>
      </c>
      <c r="D170" s="20" t="s">
        <v>193</v>
      </c>
      <c r="E170" s="8">
        <v>342.05</v>
      </c>
    </row>
    <row r="171" spans="1:5" ht="14.5" x14ac:dyDescent="0.35">
      <c r="A171" s="7" t="s">
        <v>14</v>
      </c>
      <c r="B171" s="7">
        <v>2024</v>
      </c>
      <c r="C171" s="7" t="s">
        <v>26</v>
      </c>
      <c r="D171" s="20" t="s">
        <v>194</v>
      </c>
      <c r="E171" s="8">
        <v>438.78</v>
      </c>
    </row>
    <row r="172" spans="1:5" ht="14.5" x14ac:dyDescent="0.35">
      <c r="A172" s="7" t="s">
        <v>14</v>
      </c>
      <c r="B172" s="7">
        <v>2024</v>
      </c>
      <c r="C172" s="7" t="s">
        <v>26</v>
      </c>
      <c r="D172" s="20" t="s">
        <v>195</v>
      </c>
      <c r="E172" s="8">
        <v>231</v>
      </c>
    </row>
    <row r="173" spans="1:5" ht="14.5" x14ac:dyDescent="0.35">
      <c r="A173" s="7" t="s">
        <v>15</v>
      </c>
      <c r="B173" s="7">
        <v>2025</v>
      </c>
      <c r="C173" s="7" t="s">
        <v>25</v>
      </c>
      <c r="D173" s="20" t="s">
        <v>196</v>
      </c>
      <c r="E173" s="8">
        <v>146.5</v>
      </c>
    </row>
    <row r="174" spans="1:5" ht="14.5" x14ac:dyDescent="0.35">
      <c r="A174" s="7" t="s">
        <v>15</v>
      </c>
      <c r="B174" s="7">
        <v>2025</v>
      </c>
      <c r="C174" s="7" t="s">
        <v>25</v>
      </c>
      <c r="D174" s="20" t="s">
        <v>197</v>
      </c>
      <c r="E174" s="8">
        <v>5</v>
      </c>
    </row>
    <row r="175" spans="1:5" ht="14.5" x14ac:dyDescent="0.35">
      <c r="A175" s="7" t="s">
        <v>15</v>
      </c>
      <c r="B175" s="7">
        <v>2025</v>
      </c>
      <c r="C175" s="7" t="s">
        <v>25</v>
      </c>
      <c r="D175" s="20" t="s">
        <v>198</v>
      </c>
      <c r="E175" s="8">
        <v>110</v>
      </c>
    </row>
    <row r="176" spans="1:5" ht="14.5" x14ac:dyDescent="0.35">
      <c r="A176" s="7" t="s">
        <v>15</v>
      </c>
      <c r="B176" s="7">
        <v>2025</v>
      </c>
      <c r="C176" s="7" t="s">
        <v>26</v>
      </c>
      <c r="D176" s="20" t="s">
        <v>199</v>
      </c>
      <c r="E176" s="8">
        <v>226.5</v>
      </c>
    </row>
    <row r="177" spans="1:5" ht="14.5" x14ac:dyDescent="0.35">
      <c r="A177" s="7" t="s">
        <v>15</v>
      </c>
      <c r="B177" s="7">
        <v>2025</v>
      </c>
      <c r="C177" s="7" t="s">
        <v>26</v>
      </c>
      <c r="D177" s="20" t="s">
        <v>200</v>
      </c>
      <c r="E177" s="8">
        <v>553.28</v>
      </c>
    </row>
    <row r="178" spans="1:5" ht="14.5" x14ac:dyDescent="0.35">
      <c r="A178" s="7" t="s">
        <v>16</v>
      </c>
      <c r="B178" s="7">
        <v>2025</v>
      </c>
      <c r="C178" s="7" t="s">
        <v>26</v>
      </c>
      <c r="D178" s="20" t="s">
        <v>201</v>
      </c>
      <c r="E178" s="8">
        <v>195</v>
      </c>
    </row>
    <row r="179" spans="1:5" ht="14.5" x14ac:dyDescent="0.35">
      <c r="A179" s="7" t="s">
        <v>16</v>
      </c>
      <c r="B179" s="7">
        <v>2025</v>
      </c>
      <c r="C179" s="7" t="s">
        <v>26</v>
      </c>
      <c r="D179" s="20" t="s">
        <v>202</v>
      </c>
      <c r="E179" s="8">
        <v>335.95</v>
      </c>
    </row>
    <row r="180" spans="1:5" ht="14.5" x14ac:dyDescent="0.35">
      <c r="A180" s="7" t="s">
        <v>16</v>
      </c>
      <c r="B180" s="7">
        <v>2025</v>
      </c>
      <c r="C180" s="7" t="s">
        <v>25</v>
      </c>
      <c r="D180" s="20" t="s">
        <v>203</v>
      </c>
      <c r="E180" s="8">
        <v>52.5</v>
      </c>
    </row>
    <row r="181" spans="1:5" ht="14.5" x14ac:dyDescent="0.35">
      <c r="A181" s="7" t="s">
        <v>16</v>
      </c>
      <c r="B181" s="7">
        <v>2025</v>
      </c>
      <c r="C181" s="7" t="s">
        <v>25</v>
      </c>
      <c r="D181" s="20" t="s">
        <v>204</v>
      </c>
      <c r="E181" s="8">
        <v>219.83</v>
      </c>
    </row>
    <row r="182" spans="1:5" ht="14.5" x14ac:dyDescent="0.35">
      <c r="A182" s="7" t="s">
        <v>17</v>
      </c>
      <c r="B182" s="7">
        <v>2025</v>
      </c>
      <c r="C182" s="7" t="s">
        <v>26</v>
      </c>
      <c r="D182" s="20" t="s">
        <v>205</v>
      </c>
      <c r="E182" s="8">
        <v>168</v>
      </c>
    </row>
    <row r="183" spans="1:5" ht="14.5" x14ac:dyDescent="0.35">
      <c r="A183" s="7" t="s">
        <v>17</v>
      </c>
      <c r="B183" s="7">
        <v>2025</v>
      </c>
      <c r="C183" s="7" t="s">
        <v>25</v>
      </c>
      <c r="D183" s="20" t="s">
        <v>206</v>
      </c>
      <c r="E183" s="8">
        <v>34.99</v>
      </c>
    </row>
    <row r="184" spans="1:5" ht="14.5" x14ac:dyDescent="0.35">
      <c r="A184" s="7" t="s">
        <v>17</v>
      </c>
      <c r="B184" s="7">
        <v>2025</v>
      </c>
      <c r="C184" s="7" t="s">
        <v>25</v>
      </c>
      <c r="D184" s="20" t="s">
        <v>207</v>
      </c>
      <c r="E184" s="8">
        <v>25</v>
      </c>
    </row>
    <row r="185" spans="1:5" ht="14.5" x14ac:dyDescent="0.35">
      <c r="A185" s="7" t="s">
        <v>18</v>
      </c>
      <c r="B185" s="7">
        <v>2025</v>
      </c>
      <c r="C185" s="7" t="s">
        <v>28</v>
      </c>
      <c r="D185" s="20" t="s">
        <v>208</v>
      </c>
      <c r="E185" s="8">
        <v>509</v>
      </c>
    </row>
    <row r="186" spans="1:5" ht="14.5" x14ac:dyDescent="0.35">
      <c r="A186" s="7" t="s">
        <v>18</v>
      </c>
      <c r="B186" s="7">
        <v>2025</v>
      </c>
      <c r="C186" s="7" t="s">
        <v>26</v>
      </c>
      <c r="D186" s="20" t="s">
        <v>209</v>
      </c>
      <c r="E186" s="8">
        <v>194</v>
      </c>
    </row>
    <row r="187" spans="1:5" ht="14.5" x14ac:dyDescent="0.35">
      <c r="A187" s="7" t="s">
        <v>18</v>
      </c>
      <c r="B187" s="7">
        <v>2025</v>
      </c>
      <c r="C187" s="7" t="s">
        <v>26</v>
      </c>
      <c r="D187" s="20" t="s">
        <v>210</v>
      </c>
      <c r="E187" s="8">
        <v>188</v>
      </c>
    </row>
    <row r="188" spans="1:5" ht="14.5" x14ac:dyDescent="0.35">
      <c r="A188" s="7" t="s">
        <v>18</v>
      </c>
      <c r="B188" s="7">
        <v>2025</v>
      </c>
      <c r="C188" s="7" t="s">
        <v>26</v>
      </c>
      <c r="D188" s="20" t="s">
        <v>211</v>
      </c>
      <c r="E188" s="8">
        <v>306.92</v>
      </c>
    </row>
    <row r="189" spans="1:5" ht="14.5" x14ac:dyDescent="0.35">
      <c r="A189" s="7" t="s">
        <v>19</v>
      </c>
      <c r="B189" s="7">
        <v>2025</v>
      </c>
      <c r="C189" s="7" t="s">
        <v>25</v>
      </c>
      <c r="D189" s="20" t="s">
        <v>212</v>
      </c>
      <c r="E189" s="8">
        <v>94.98</v>
      </c>
    </row>
    <row r="190" spans="1:5" ht="14.5" x14ac:dyDescent="0.35">
      <c r="A190" s="7" t="s">
        <v>19</v>
      </c>
      <c r="B190" s="7">
        <v>2025</v>
      </c>
      <c r="C190" s="7" t="s">
        <v>26</v>
      </c>
      <c r="D190" s="20" t="s">
        <v>213</v>
      </c>
      <c r="E190" s="8">
        <v>699</v>
      </c>
    </row>
    <row r="191" spans="1:5" ht="14.5" x14ac:dyDescent="0.35">
      <c r="A191" s="7" t="s">
        <v>20</v>
      </c>
      <c r="B191" s="7">
        <v>2025</v>
      </c>
      <c r="C191" s="7" t="s">
        <v>26</v>
      </c>
      <c r="D191" s="20" t="s">
        <v>214</v>
      </c>
      <c r="E191" s="8">
        <f>128.95/2</f>
        <v>64.474999999999994</v>
      </c>
    </row>
    <row r="192" spans="1:5" ht="14.5" x14ac:dyDescent="0.35">
      <c r="A192" s="7" t="s">
        <v>20</v>
      </c>
      <c r="B192" s="7">
        <v>2025</v>
      </c>
      <c r="C192" s="7" t="s">
        <v>25</v>
      </c>
      <c r="D192" s="20" t="s">
        <v>141</v>
      </c>
      <c r="E192" s="8">
        <v>34</v>
      </c>
    </row>
    <row r="193" spans="1:5" ht="14.5" x14ac:dyDescent="0.35">
      <c r="A193" s="7" t="s">
        <v>20</v>
      </c>
      <c r="B193" s="7">
        <v>2025</v>
      </c>
      <c r="C193" s="7" t="s">
        <v>25</v>
      </c>
      <c r="D193" s="20" t="s">
        <v>215</v>
      </c>
      <c r="E193" s="8">
        <v>40</v>
      </c>
    </row>
    <row r="194" spans="1:5" ht="14.5" x14ac:dyDescent="0.35">
      <c r="A194" s="7" t="s">
        <v>9</v>
      </c>
      <c r="B194" s="7">
        <v>2025</v>
      </c>
      <c r="C194" s="7" t="s">
        <v>26</v>
      </c>
      <c r="D194" s="20" t="s">
        <v>216</v>
      </c>
      <c r="E194" s="8">
        <v>356</v>
      </c>
    </row>
    <row r="195" spans="1:5" ht="14.5" x14ac:dyDescent="0.35">
      <c r="A195" s="7" t="s">
        <v>9</v>
      </c>
      <c r="B195" s="7">
        <v>2025</v>
      </c>
      <c r="C195" s="7" t="s">
        <v>26</v>
      </c>
      <c r="D195" s="20" t="s">
        <v>217</v>
      </c>
      <c r="E195" s="8">
        <v>40</v>
      </c>
    </row>
    <row r="196" spans="1:5" ht="14.5" x14ac:dyDescent="0.35">
      <c r="A196" s="7" t="s">
        <v>9</v>
      </c>
      <c r="B196" s="7">
        <v>2025</v>
      </c>
      <c r="C196" s="7" t="s">
        <v>27</v>
      </c>
      <c r="D196" s="20" t="s">
        <v>112</v>
      </c>
      <c r="E196" s="8">
        <f>16.6*2/5*2</f>
        <v>13.280000000000001</v>
      </c>
    </row>
    <row r="197" spans="1:5" ht="14.5" x14ac:dyDescent="0.35">
      <c r="A197" s="7" t="s">
        <v>9</v>
      </c>
      <c r="B197" s="7">
        <v>2025</v>
      </c>
      <c r="C197" s="7" t="s">
        <v>27</v>
      </c>
      <c r="D197" s="20" t="s">
        <v>218</v>
      </c>
      <c r="E197" s="8">
        <v>47</v>
      </c>
    </row>
    <row r="198" spans="1:5" ht="14.5" x14ac:dyDescent="0.35">
      <c r="A198" s="7" t="s">
        <v>9</v>
      </c>
      <c r="B198" s="7">
        <v>2025</v>
      </c>
      <c r="C198" s="7" t="s">
        <v>27</v>
      </c>
      <c r="D198" s="20" t="s">
        <v>219</v>
      </c>
      <c r="E198" s="8">
        <v>70</v>
      </c>
    </row>
    <row r="199" spans="1:5" ht="14.5" x14ac:dyDescent="0.35">
      <c r="A199" s="7" t="s">
        <v>9</v>
      </c>
      <c r="B199" s="7">
        <v>2025</v>
      </c>
      <c r="C199" s="7" t="s">
        <v>27</v>
      </c>
      <c r="D199" s="20" t="s">
        <v>220</v>
      </c>
      <c r="E199" s="8">
        <v>32.5</v>
      </c>
    </row>
    <row r="200" spans="1:5" ht="14.5" x14ac:dyDescent="0.35">
      <c r="A200" s="7" t="s">
        <v>9</v>
      </c>
      <c r="B200" s="7">
        <v>2025</v>
      </c>
      <c r="C200" s="7" t="s">
        <v>27</v>
      </c>
      <c r="D200" s="20" t="s">
        <v>221</v>
      </c>
      <c r="E200" s="8">
        <v>46.5</v>
      </c>
    </row>
    <row r="201" spans="1:5" ht="14.5" x14ac:dyDescent="0.35">
      <c r="A201" s="7" t="s">
        <v>9</v>
      </c>
      <c r="B201" s="7">
        <v>2025</v>
      </c>
      <c r="C201" s="7" t="s">
        <v>42</v>
      </c>
      <c r="D201" s="20" t="s">
        <v>222</v>
      </c>
      <c r="E201" s="8">
        <v>147.5</v>
      </c>
    </row>
    <row r="202" spans="1:5" ht="14.5" x14ac:dyDescent="0.35">
      <c r="A202" s="7" t="s">
        <v>9</v>
      </c>
      <c r="B202" s="7">
        <v>2025</v>
      </c>
      <c r="C202" s="7" t="s">
        <v>23</v>
      </c>
      <c r="D202" s="20" t="s">
        <v>223</v>
      </c>
      <c r="E202" s="8">
        <v>142</v>
      </c>
    </row>
    <row r="203" spans="1:5" ht="14.5" x14ac:dyDescent="0.35">
      <c r="A203" s="7" t="s">
        <v>10</v>
      </c>
      <c r="B203" s="7">
        <v>2025</v>
      </c>
      <c r="C203" s="7" t="s">
        <v>27</v>
      </c>
      <c r="D203" s="20" t="s">
        <v>224</v>
      </c>
      <c r="E203" s="8">
        <f>4.25*2+3*2+2.5</f>
        <v>17</v>
      </c>
    </row>
    <row r="204" spans="1:5" ht="14.5" x14ac:dyDescent="0.35">
      <c r="A204" s="7" t="s">
        <v>10</v>
      </c>
      <c r="B204" s="7">
        <v>2025</v>
      </c>
      <c r="C204" s="7" t="s">
        <v>27</v>
      </c>
      <c r="D204" s="20" t="s">
        <v>220</v>
      </c>
      <c r="E204" s="8">
        <f>20+20</f>
        <v>40</v>
      </c>
    </row>
    <row r="205" spans="1:5" ht="14.5" x14ac:dyDescent="0.35">
      <c r="A205" s="7" t="s">
        <v>10</v>
      </c>
      <c r="B205" s="7">
        <v>2025</v>
      </c>
      <c r="C205" s="7" t="s">
        <v>27</v>
      </c>
      <c r="D205" s="20" t="s">
        <v>225</v>
      </c>
      <c r="E205" s="8">
        <f>16.6/2+5/2+9.5/2+57.66/2</f>
        <v>44.379999999999995</v>
      </c>
    </row>
    <row r="206" spans="1:5" ht="14.5" x14ac:dyDescent="0.35">
      <c r="A206" s="7" t="s">
        <v>10</v>
      </c>
      <c r="B206" s="7">
        <v>2025</v>
      </c>
      <c r="C206" s="7" t="s">
        <v>25</v>
      </c>
      <c r="D206" s="20" t="s">
        <v>119</v>
      </c>
      <c r="E206" s="8">
        <v>89</v>
      </c>
    </row>
    <row r="207" spans="1:5" ht="14.5" x14ac:dyDescent="0.35">
      <c r="A207" s="7" t="s">
        <v>10</v>
      </c>
      <c r="B207" s="7">
        <v>2025</v>
      </c>
      <c r="C207" s="7" t="s">
        <v>25</v>
      </c>
      <c r="D207" s="20" t="s">
        <v>226</v>
      </c>
      <c r="E207" s="8">
        <v>45</v>
      </c>
    </row>
    <row r="208" spans="1:5" ht="14.5" x14ac:dyDescent="0.35">
      <c r="A208" s="7" t="s">
        <v>10</v>
      </c>
      <c r="B208" s="7">
        <v>2025</v>
      </c>
      <c r="C208" s="7" t="s">
        <v>25</v>
      </c>
      <c r="D208" s="20" t="s">
        <v>227</v>
      </c>
      <c r="E208" s="8">
        <v>99</v>
      </c>
    </row>
    <row r="209" spans="1:5" ht="14.5" x14ac:dyDescent="0.35">
      <c r="A209" s="7" t="s">
        <v>10</v>
      </c>
      <c r="B209" s="7">
        <v>2025</v>
      </c>
      <c r="C209" s="7" t="s">
        <v>25</v>
      </c>
      <c r="D209" s="20" t="s">
        <v>228</v>
      </c>
      <c r="E209" s="8">
        <v>47.5</v>
      </c>
    </row>
    <row r="210" spans="1:5" ht="14.5" x14ac:dyDescent="0.35">
      <c r="A210" s="7" t="s">
        <v>12</v>
      </c>
      <c r="B210" s="7">
        <v>2025</v>
      </c>
      <c r="C210" s="7" t="s">
        <v>26</v>
      </c>
      <c r="D210" s="20" t="s">
        <v>229</v>
      </c>
      <c r="E210" s="8">
        <v>1606.26</v>
      </c>
    </row>
    <row r="211" spans="1:5" ht="14.5" x14ac:dyDescent="0.35">
      <c r="A211" s="7" t="s">
        <v>12</v>
      </c>
      <c r="B211" s="7">
        <v>2025</v>
      </c>
      <c r="C211" s="7" t="s">
        <v>25</v>
      </c>
      <c r="D211" s="20" t="s">
        <v>230</v>
      </c>
      <c r="E211" s="8">
        <v>54.9</v>
      </c>
    </row>
    <row r="212" spans="1:5" ht="14.5" x14ac:dyDescent="0.35">
      <c r="A212" s="7" t="s">
        <v>13</v>
      </c>
      <c r="B212" s="7">
        <v>2025</v>
      </c>
      <c r="C212" s="7" t="s">
        <v>25</v>
      </c>
      <c r="D212" s="20" t="s">
        <v>231</v>
      </c>
      <c r="E212" s="8">
        <v>54.99</v>
      </c>
    </row>
    <row r="213" spans="1:5" ht="14.5" x14ac:dyDescent="0.35">
      <c r="A213" s="7" t="s">
        <v>13</v>
      </c>
      <c r="B213" s="7">
        <v>2025</v>
      </c>
      <c r="C213" s="7" t="s">
        <v>25</v>
      </c>
      <c r="D213" s="20" t="s">
        <v>117</v>
      </c>
      <c r="E213" s="8">
        <v>35.200000000000003</v>
      </c>
    </row>
    <row r="214" spans="1:5" ht="14.5" x14ac:dyDescent="0.35">
      <c r="A214" s="7" t="s">
        <v>13</v>
      </c>
      <c r="B214" s="7">
        <v>2025</v>
      </c>
      <c r="C214" s="7" t="s">
        <v>25</v>
      </c>
      <c r="D214" s="20" t="s">
        <v>232</v>
      </c>
      <c r="E214" s="8">
        <v>6.36</v>
      </c>
    </row>
    <row r="215" spans="1:5" ht="14.5" x14ac:dyDescent="0.35">
      <c r="A215" s="7" t="s">
        <v>14</v>
      </c>
      <c r="B215" s="7">
        <v>2025</v>
      </c>
      <c r="C215" s="7" t="s">
        <v>27</v>
      </c>
      <c r="D215" s="20" t="s">
        <v>233</v>
      </c>
      <c r="E215" s="8">
        <f>10.9+1.8</f>
        <v>12.700000000000001</v>
      </c>
    </row>
    <row r="216" spans="1:5" ht="14.5" x14ac:dyDescent="0.35">
      <c r="A216" s="7" t="s">
        <v>14</v>
      </c>
      <c r="B216" s="7">
        <v>2025</v>
      </c>
      <c r="C216" s="7" t="s">
        <v>27</v>
      </c>
      <c r="D216" s="20" t="s">
        <v>148</v>
      </c>
      <c r="E216" s="8">
        <v>80</v>
      </c>
    </row>
    <row r="217" spans="1:5" ht="14.5" x14ac:dyDescent="0.35">
      <c r="A217" s="7" t="s">
        <v>14</v>
      </c>
      <c r="B217" s="7">
        <v>2025</v>
      </c>
      <c r="C217" s="7" t="s">
        <v>27</v>
      </c>
      <c r="D217" s="20"/>
      <c r="E217" s="8">
        <f>7+12.6</f>
        <v>19.600000000000001</v>
      </c>
    </row>
    <row r="218" spans="1:5" ht="14.5" x14ac:dyDescent="0.35">
      <c r="A218" s="7" t="s">
        <v>14</v>
      </c>
      <c r="B218" s="7">
        <v>2025</v>
      </c>
      <c r="C218" s="7" t="s">
        <v>26</v>
      </c>
      <c r="D218" s="20" t="s">
        <v>234</v>
      </c>
      <c r="E218" s="8">
        <v>136</v>
      </c>
    </row>
    <row r="219" spans="1:5" ht="14.5" x14ac:dyDescent="0.35">
      <c r="A219" s="7" t="s">
        <v>14</v>
      </c>
      <c r="B219" s="7">
        <v>2025</v>
      </c>
      <c r="C219" s="7" t="s">
        <v>26</v>
      </c>
      <c r="D219" s="20"/>
      <c r="E219" s="8">
        <v>26.4</v>
      </c>
    </row>
    <row r="220" spans="1:5" ht="14.5" x14ac:dyDescent="0.35">
      <c r="A220" s="7" t="s">
        <v>14</v>
      </c>
      <c r="B220" s="7">
        <v>2025</v>
      </c>
      <c r="C220" s="7" t="s">
        <v>26</v>
      </c>
      <c r="D220" s="20" t="s">
        <v>235</v>
      </c>
      <c r="E220" s="8">
        <v>200</v>
      </c>
    </row>
    <row r="221" spans="1:5" ht="14.5" x14ac:dyDescent="0.35">
      <c r="A221" s="7" t="s">
        <v>14</v>
      </c>
      <c r="B221" s="7">
        <v>2025</v>
      </c>
      <c r="C221" s="7" t="s">
        <v>25</v>
      </c>
      <c r="D221" s="20" t="s">
        <v>236</v>
      </c>
      <c r="E221" s="8">
        <v>18</v>
      </c>
    </row>
    <row r="222" spans="1:5" ht="14.5" x14ac:dyDescent="0.35">
      <c r="A222" s="7" t="s">
        <v>14</v>
      </c>
      <c r="B222" s="7">
        <v>2025</v>
      </c>
      <c r="C222" s="7" t="s">
        <v>25</v>
      </c>
      <c r="D222" s="20" t="s">
        <v>237</v>
      </c>
      <c r="E222" s="8">
        <v>19</v>
      </c>
    </row>
    <row r="223" spans="1:5" ht="14.5" x14ac:dyDescent="0.35">
      <c r="A223" s="7" t="s">
        <v>15</v>
      </c>
      <c r="B223" s="7">
        <v>2026</v>
      </c>
      <c r="C223" s="7" t="s">
        <v>26</v>
      </c>
      <c r="D223" s="20" t="s">
        <v>235</v>
      </c>
      <c r="E223" s="8">
        <f>19.1+69+7+5+22+12+86+3+4+16.52+(37.4/2)+17.6+4.5-6+16.6+6+69+36.45</f>
        <v>406.47</v>
      </c>
    </row>
    <row r="224" spans="1:5" ht="14.5" x14ac:dyDescent="0.35">
      <c r="A224" s="7" t="s">
        <v>15</v>
      </c>
      <c r="B224" s="7">
        <v>2026</v>
      </c>
      <c r="C224" s="7" t="s">
        <v>26</v>
      </c>
      <c r="D224" s="20"/>
      <c r="E224" s="8">
        <v>200</v>
      </c>
    </row>
    <row r="225" spans="1:5" ht="14.5" x14ac:dyDescent="0.35">
      <c r="A225" s="7" t="s">
        <v>15</v>
      </c>
      <c r="B225" s="7">
        <v>2026</v>
      </c>
      <c r="C225" s="7" t="s">
        <v>28</v>
      </c>
      <c r="D225" s="7" t="s">
        <v>238</v>
      </c>
      <c r="E225" s="8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RECAP</vt:lpstr>
      <vt:lpstr>SPESE</vt:lpstr>
      <vt:lpstr>ENTRATE</vt:lpstr>
      <vt:lpstr>Log_Dati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Piazzi Leonardo</cp:lastModifiedBy>
  <dcterms:modified xsi:type="dcterms:W3CDTF">2026-02-18T07:46:03Z</dcterms:modified>
</cp:coreProperties>
</file>